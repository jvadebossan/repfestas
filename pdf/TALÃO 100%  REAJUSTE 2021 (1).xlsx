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era\Desktop\"/>
    </mc:Choice>
  </mc:AlternateContent>
  <xr:revisionPtr revIDLastSave="0" documentId="8_{B43DBC1A-0656-453E-B04E-BA311BCD0E79}" xr6:coauthVersionLast="46" xr6:coauthVersionMax="46" xr10:uidLastSave="{00000000-0000-0000-0000-000000000000}"/>
  <bookViews>
    <workbookView xWindow="-120" yWindow="-120" windowWidth="20730" windowHeight="11160" activeTab="1" xr2:uid="{00000000-000D-0000-FFFF-FFFF00000000}"/>
  </bookViews>
  <sheets>
    <sheet name="Pedido" sheetId="1" r:id="rId1"/>
    <sheet name="Tabela" sheetId="4" r:id="rId2"/>
  </sheets>
  <definedNames>
    <definedName name="_xlnm.Print_Area" localSheetId="0">Pedido!$A$1:$I$35</definedName>
    <definedName name="_xlnm.Print_Area" localSheetId="1">Tabela!$A$1:$D$391</definedName>
    <definedName name="_xlnm.Print_Titles" localSheetId="0">Pedido!$20:$22</definedName>
    <definedName name="_xlnm.Print_Titles" localSheetId="1">Tabela!$1:$2</definedName>
  </definedNames>
  <calcPr calcId="191029"/>
</workbook>
</file>

<file path=xl/calcChain.xml><?xml version="1.0" encoding="utf-8"?>
<calcChain xmlns="http://schemas.openxmlformats.org/spreadsheetml/2006/main">
  <c r="G343" i="1" l="1"/>
  <c r="H343" i="1" s="1"/>
  <c r="F343" i="1"/>
  <c r="D343" i="1"/>
  <c r="G342" i="1"/>
  <c r="H342" i="1" s="1"/>
  <c r="F342" i="1"/>
  <c r="D342" i="1"/>
  <c r="G341" i="1"/>
  <c r="H341" i="1" s="1"/>
  <c r="F341" i="1"/>
  <c r="D341" i="1"/>
  <c r="G340" i="1"/>
  <c r="H340" i="1" s="1"/>
  <c r="F340" i="1"/>
  <c r="D340" i="1"/>
  <c r="G339" i="1"/>
  <c r="H339" i="1" s="1"/>
  <c r="F339" i="1"/>
  <c r="D339" i="1"/>
  <c r="G338" i="1"/>
  <c r="H338" i="1" s="1"/>
  <c r="F338" i="1"/>
  <c r="D338" i="1"/>
  <c r="G337" i="1"/>
  <c r="H337" i="1" s="1"/>
  <c r="F337" i="1"/>
  <c r="D337" i="1"/>
  <c r="G336" i="1"/>
  <c r="H336" i="1" s="1"/>
  <c r="F336" i="1"/>
  <c r="D336" i="1"/>
  <c r="G335" i="1"/>
  <c r="H335" i="1" s="1"/>
  <c r="F335" i="1"/>
  <c r="D335" i="1"/>
  <c r="G334" i="1"/>
  <c r="H334" i="1" s="1"/>
  <c r="F334" i="1"/>
  <c r="D334" i="1"/>
  <c r="G333" i="1"/>
  <c r="H333" i="1" s="1"/>
  <c r="F333" i="1"/>
  <c r="D333" i="1"/>
  <c r="G332" i="1"/>
  <c r="H332" i="1" s="1"/>
  <c r="F332" i="1"/>
  <c r="D332" i="1"/>
  <c r="G331" i="1"/>
  <c r="H331" i="1" s="1"/>
  <c r="F331" i="1"/>
  <c r="D331" i="1"/>
  <c r="G330" i="1"/>
  <c r="H330" i="1" s="1"/>
  <c r="F330" i="1"/>
  <c r="D330" i="1"/>
  <c r="G329" i="1"/>
  <c r="H329" i="1" s="1"/>
  <c r="F329" i="1"/>
  <c r="D329" i="1"/>
  <c r="G328" i="1"/>
  <c r="H328" i="1" s="1"/>
  <c r="F328" i="1"/>
  <c r="D328" i="1"/>
  <c r="G327" i="1"/>
  <c r="H327" i="1" s="1"/>
  <c r="F327" i="1"/>
  <c r="D327" i="1"/>
  <c r="G326" i="1"/>
  <c r="H326" i="1" s="1"/>
  <c r="F326" i="1"/>
  <c r="D326" i="1"/>
  <c r="G325" i="1"/>
  <c r="H325" i="1" s="1"/>
  <c r="F325" i="1"/>
  <c r="D325" i="1"/>
  <c r="G324" i="1"/>
  <c r="H324" i="1" s="1"/>
  <c r="F324" i="1"/>
  <c r="D324" i="1"/>
  <c r="G323" i="1"/>
  <c r="H323" i="1" s="1"/>
  <c r="F323" i="1"/>
  <c r="D323" i="1"/>
  <c r="G322" i="1"/>
  <c r="H322" i="1" s="1"/>
  <c r="F322" i="1"/>
  <c r="D322" i="1"/>
  <c r="G321" i="1"/>
  <c r="H321" i="1" s="1"/>
  <c r="F321" i="1"/>
  <c r="D321" i="1"/>
  <c r="G320" i="1"/>
  <c r="H320" i="1" s="1"/>
  <c r="F320" i="1"/>
  <c r="D320" i="1"/>
  <c r="G319" i="1"/>
  <c r="H319" i="1" s="1"/>
  <c r="F319" i="1"/>
  <c r="D319" i="1"/>
  <c r="G318" i="1"/>
  <c r="H318" i="1" s="1"/>
  <c r="F318" i="1"/>
  <c r="D318" i="1"/>
  <c r="G317" i="1"/>
  <c r="H317" i="1" s="1"/>
  <c r="F317" i="1"/>
  <c r="D317" i="1"/>
  <c r="G316" i="1"/>
  <c r="H316" i="1" s="1"/>
  <c r="F316" i="1"/>
  <c r="D316" i="1"/>
  <c r="G315" i="1"/>
  <c r="H315" i="1" s="1"/>
  <c r="F315" i="1"/>
  <c r="D315" i="1"/>
  <c r="G314" i="1"/>
  <c r="H314" i="1" s="1"/>
  <c r="F314" i="1"/>
  <c r="D314" i="1"/>
  <c r="G313" i="1"/>
  <c r="H313" i="1" s="1"/>
  <c r="F313" i="1"/>
  <c r="D313" i="1"/>
  <c r="G312" i="1"/>
  <c r="H312" i="1" s="1"/>
  <c r="F312" i="1"/>
  <c r="D312" i="1"/>
  <c r="G311" i="1"/>
  <c r="H311" i="1" s="1"/>
  <c r="F311" i="1"/>
  <c r="D311" i="1"/>
  <c r="G310" i="1"/>
  <c r="H310" i="1" s="1"/>
  <c r="F310" i="1"/>
  <c r="D310" i="1"/>
  <c r="G309" i="1"/>
  <c r="H309" i="1" s="1"/>
  <c r="F309" i="1"/>
  <c r="D309" i="1"/>
  <c r="G308" i="1"/>
  <c r="H308" i="1" s="1"/>
  <c r="F308" i="1"/>
  <c r="D308" i="1"/>
  <c r="G307" i="1"/>
  <c r="H307" i="1" s="1"/>
  <c r="F307" i="1"/>
  <c r="D307" i="1"/>
  <c r="G306" i="1"/>
  <c r="H306" i="1" s="1"/>
  <c r="F306" i="1"/>
  <c r="D306" i="1"/>
  <c r="G305" i="1"/>
  <c r="H305" i="1" s="1"/>
  <c r="F305" i="1"/>
  <c r="D305" i="1"/>
  <c r="G304" i="1"/>
  <c r="H304" i="1" s="1"/>
  <c r="F304" i="1"/>
  <c r="D304" i="1"/>
  <c r="G303" i="1"/>
  <c r="H303" i="1" s="1"/>
  <c r="F303" i="1"/>
  <c r="D303" i="1"/>
  <c r="G302" i="1"/>
  <c r="H302" i="1" s="1"/>
  <c r="F302" i="1"/>
  <c r="D302" i="1"/>
  <c r="G301" i="1"/>
  <c r="H301" i="1" s="1"/>
  <c r="F301" i="1"/>
  <c r="D301" i="1"/>
  <c r="G300" i="1"/>
  <c r="H300" i="1" s="1"/>
  <c r="F300" i="1"/>
  <c r="D300" i="1"/>
  <c r="G299" i="1"/>
  <c r="H299" i="1" s="1"/>
  <c r="F299" i="1"/>
  <c r="D299" i="1"/>
  <c r="G298" i="1"/>
  <c r="H298" i="1" s="1"/>
  <c r="F298" i="1"/>
  <c r="D298" i="1"/>
  <c r="G297" i="1"/>
  <c r="H297" i="1" s="1"/>
  <c r="F297" i="1"/>
  <c r="D297" i="1"/>
  <c r="G296" i="1"/>
  <c r="H296" i="1" s="1"/>
  <c r="F296" i="1"/>
  <c r="D296" i="1"/>
  <c r="G295" i="1"/>
  <c r="H295" i="1" s="1"/>
  <c r="F295" i="1"/>
  <c r="D295" i="1"/>
  <c r="G294" i="1"/>
  <c r="H294" i="1" s="1"/>
  <c r="F294" i="1"/>
  <c r="D294" i="1"/>
  <c r="G293" i="1"/>
  <c r="H293" i="1" s="1"/>
  <c r="F293" i="1"/>
  <c r="D293" i="1"/>
  <c r="G292" i="1"/>
  <c r="H292" i="1" s="1"/>
  <c r="F292" i="1"/>
  <c r="D292" i="1"/>
  <c r="G291" i="1"/>
  <c r="H291" i="1" s="1"/>
  <c r="F291" i="1"/>
  <c r="D291" i="1"/>
  <c r="G290" i="1"/>
  <c r="H290" i="1" s="1"/>
  <c r="F290" i="1"/>
  <c r="D290" i="1"/>
  <c r="G289" i="1"/>
  <c r="H289" i="1" s="1"/>
  <c r="F289" i="1"/>
  <c r="D289" i="1"/>
  <c r="G288" i="1"/>
  <c r="H288" i="1" s="1"/>
  <c r="F288" i="1"/>
  <c r="D288" i="1"/>
  <c r="G287" i="1"/>
  <c r="H287" i="1" s="1"/>
  <c r="F287" i="1"/>
  <c r="D287" i="1"/>
  <c r="G286" i="1"/>
  <c r="H286" i="1" s="1"/>
  <c r="F286" i="1"/>
  <c r="D286" i="1"/>
  <c r="G285" i="1"/>
  <c r="H285" i="1" s="1"/>
  <c r="F285" i="1"/>
  <c r="D285" i="1"/>
  <c r="G284" i="1"/>
  <c r="H284" i="1" s="1"/>
  <c r="F284" i="1"/>
  <c r="D284" i="1"/>
  <c r="G283" i="1"/>
  <c r="H283" i="1" s="1"/>
  <c r="F283" i="1"/>
  <c r="D283" i="1"/>
  <c r="G282" i="1"/>
  <c r="H282" i="1" s="1"/>
  <c r="F282" i="1"/>
  <c r="D282" i="1"/>
  <c r="G281" i="1"/>
  <c r="H281" i="1" s="1"/>
  <c r="F281" i="1"/>
  <c r="D281" i="1"/>
  <c r="G280" i="1"/>
  <c r="H280" i="1" s="1"/>
  <c r="F280" i="1"/>
  <c r="D280" i="1"/>
  <c r="G279" i="1"/>
  <c r="H279" i="1" s="1"/>
  <c r="F279" i="1"/>
  <c r="D279" i="1"/>
  <c r="G278" i="1"/>
  <c r="H278" i="1" s="1"/>
  <c r="F278" i="1"/>
  <c r="D278" i="1"/>
  <c r="G277" i="1"/>
  <c r="H277" i="1" s="1"/>
  <c r="F277" i="1"/>
  <c r="D277" i="1"/>
  <c r="G276" i="1"/>
  <c r="H276" i="1" s="1"/>
  <c r="F276" i="1"/>
  <c r="D276" i="1"/>
  <c r="G275" i="1"/>
  <c r="H275" i="1" s="1"/>
  <c r="F275" i="1"/>
  <c r="D275" i="1"/>
  <c r="G274" i="1"/>
  <c r="H274" i="1" s="1"/>
  <c r="F274" i="1"/>
  <c r="D274" i="1"/>
  <c r="G273" i="1"/>
  <c r="H273" i="1" s="1"/>
  <c r="F273" i="1"/>
  <c r="D273" i="1"/>
  <c r="G272" i="1"/>
  <c r="H272" i="1" s="1"/>
  <c r="F272" i="1"/>
  <c r="D272" i="1"/>
  <c r="G271" i="1"/>
  <c r="H271" i="1" s="1"/>
  <c r="F271" i="1"/>
  <c r="D271" i="1"/>
  <c r="G270" i="1"/>
  <c r="H270" i="1" s="1"/>
  <c r="F270" i="1"/>
  <c r="D270" i="1"/>
  <c r="G269" i="1"/>
  <c r="H269" i="1" s="1"/>
  <c r="F269" i="1"/>
  <c r="D269" i="1"/>
  <c r="G268" i="1"/>
  <c r="H268" i="1" s="1"/>
  <c r="F268" i="1"/>
  <c r="D268" i="1"/>
  <c r="G267" i="1"/>
  <c r="H267" i="1" s="1"/>
  <c r="F267" i="1"/>
  <c r="D267" i="1"/>
  <c r="G266" i="1"/>
  <c r="H266" i="1" s="1"/>
  <c r="F266" i="1"/>
  <c r="D266" i="1"/>
  <c r="G265" i="1"/>
  <c r="H265" i="1" s="1"/>
  <c r="F265" i="1"/>
  <c r="D265" i="1"/>
  <c r="G264" i="1"/>
  <c r="H264" i="1" s="1"/>
  <c r="F264" i="1"/>
  <c r="D264" i="1"/>
  <c r="G263" i="1"/>
  <c r="H263" i="1" s="1"/>
  <c r="F263" i="1"/>
  <c r="D263" i="1"/>
  <c r="G262" i="1"/>
  <c r="H262" i="1" s="1"/>
  <c r="F262" i="1"/>
  <c r="D262" i="1"/>
  <c r="G261" i="1"/>
  <c r="H261" i="1" s="1"/>
  <c r="F261" i="1"/>
  <c r="D261" i="1"/>
  <c r="G260" i="1"/>
  <c r="H260" i="1" s="1"/>
  <c r="F260" i="1"/>
  <c r="D260" i="1"/>
  <c r="G259" i="1"/>
  <c r="H259" i="1" s="1"/>
  <c r="F259" i="1"/>
  <c r="D259" i="1"/>
  <c r="G258" i="1"/>
  <c r="H258" i="1" s="1"/>
  <c r="F258" i="1"/>
  <c r="D258" i="1"/>
  <c r="G257" i="1"/>
  <c r="H257" i="1" s="1"/>
  <c r="F257" i="1"/>
  <c r="D257" i="1"/>
  <c r="G256" i="1"/>
  <c r="H256" i="1" s="1"/>
  <c r="F256" i="1"/>
  <c r="D256" i="1"/>
  <c r="G255" i="1"/>
  <c r="H255" i="1" s="1"/>
  <c r="F255" i="1"/>
  <c r="D255" i="1"/>
  <c r="G254" i="1"/>
  <c r="H254" i="1" s="1"/>
  <c r="F254" i="1"/>
  <c r="D254" i="1"/>
  <c r="G253" i="1"/>
  <c r="H253" i="1" s="1"/>
  <c r="F253" i="1"/>
  <c r="D253" i="1"/>
  <c r="G252" i="1"/>
  <c r="H252" i="1" s="1"/>
  <c r="F252" i="1"/>
  <c r="D252" i="1"/>
  <c r="G251" i="1"/>
  <c r="H251" i="1" s="1"/>
  <c r="F251" i="1"/>
  <c r="D251" i="1"/>
  <c r="G250" i="1"/>
  <c r="H250" i="1" s="1"/>
  <c r="F250" i="1"/>
  <c r="D250" i="1"/>
  <c r="G249" i="1"/>
  <c r="H249" i="1" s="1"/>
  <c r="F249" i="1"/>
  <c r="D249" i="1"/>
  <c r="G248" i="1"/>
  <c r="H248" i="1" s="1"/>
  <c r="F248" i="1"/>
  <c r="D248" i="1"/>
  <c r="G247" i="1"/>
  <c r="H247" i="1" s="1"/>
  <c r="F247" i="1"/>
  <c r="D247" i="1"/>
  <c r="G246" i="1"/>
  <c r="H246" i="1" s="1"/>
  <c r="F246" i="1"/>
  <c r="D246" i="1"/>
  <c r="G245" i="1"/>
  <c r="H245" i="1" s="1"/>
  <c r="F245" i="1"/>
  <c r="D245" i="1"/>
  <c r="G244" i="1"/>
  <c r="H244" i="1" s="1"/>
  <c r="F244" i="1"/>
  <c r="D244" i="1"/>
  <c r="G243" i="1"/>
  <c r="H243" i="1" s="1"/>
  <c r="F243" i="1"/>
  <c r="D243" i="1"/>
  <c r="G242" i="1"/>
  <c r="H242" i="1" s="1"/>
  <c r="F242" i="1"/>
  <c r="D242" i="1"/>
  <c r="G241" i="1"/>
  <c r="H241" i="1" s="1"/>
  <c r="F241" i="1"/>
  <c r="D241" i="1"/>
  <c r="G240" i="1"/>
  <c r="H240" i="1" s="1"/>
  <c r="F240" i="1"/>
  <c r="D240" i="1"/>
  <c r="G239" i="1"/>
  <c r="H239" i="1" s="1"/>
  <c r="F239" i="1"/>
  <c r="D239" i="1"/>
  <c r="G238" i="1"/>
  <c r="H238" i="1" s="1"/>
  <c r="F238" i="1"/>
  <c r="D238" i="1"/>
  <c r="G237" i="1"/>
  <c r="H237" i="1" s="1"/>
  <c r="F237" i="1"/>
  <c r="D237" i="1"/>
  <c r="G236" i="1"/>
  <c r="H236" i="1" s="1"/>
  <c r="F236" i="1"/>
  <c r="D236" i="1"/>
  <c r="G235" i="1"/>
  <c r="H235" i="1" s="1"/>
  <c r="F235" i="1"/>
  <c r="D235" i="1"/>
  <c r="G234" i="1"/>
  <c r="H234" i="1" s="1"/>
  <c r="F234" i="1"/>
  <c r="D234" i="1"/>
  <c r="G233" i="1"/>
  <c r="H233" i="1" s="1"/>
  <c r="F233" i="1"/>
  <c r="D233" i="1"/>
  <c r="G232" i="1"/>
  <c r="H232" i="1" s="1"/>
  <c r="F232" i="1"/>
  <c r="D232" i="1"/>
  <c r="G231" i="1"/>
  <c r="H231" i="1" s="1"/>
  <c r="F231" i="1"/>
  <c r="D231" i="1"/>
  <c r="G230" i="1"/>
  <c r="H230" i="1" s="1"/>
  <c r="F230" i="1"/>
  <c r="D230" i="1"/>
  <c r="G229" i="1"/>
  <c r="H229" i="1" s="1"/>
  <c r="F229" i="1"/>
  <c r="D229" i="1"/>
  <c r="G228" i="1"/>
  <c r="H228" i="1" s="1"/>
  <c r="F228" i="1"/>
  <c r="D228" i="1"/>
  <c r="G227" i="1"/>
  <c r="H227" i="1" s="1"/>
  <c r="F227" i="1"/>
  <c r="D227" i="1"/>
  <c r="G226" i="1"/>
  <c r="H226" i="1" s="1"/>
  <c r="F226" i="1"/>
  <c r="D226" i="1"/>
  <c r="G225" i="1"/>
  <c r="H225" i="1" s="1"/>
  <c r="F225" i="1"/>
  <c r="D225" i="1"/>
  <c r="G224" i="1"/>
  <c r="H224" i="1" s="1"/>
  <c r="F224" i="1"/>
  <c r="D224" i="1"/>
  <c r="G223" i="1"/>
  <c r="H223" i="1" s="1"/>
  <c r="F223" i="1"/>
  <c r="D223" i="1"/>
  <c r="G222" i="1"/>
  <c r="H222" i="1" s="1"/>
  <c r="F222" i="1"/>
  <c r="D222" i="1"/>
  <c r="G221" i="1"/>
  <c r="H221" i="1" s="1"/>
  <c r="F221" i="1"/>
  <c r="D221" i="1"/>
  <c r="G220" i="1"/>
  <c r="H220" i="1" s="1"/>
  <c r="F220" i="1"/>
  <c r="D220" i="1"/>
  <c r="G219" i="1"/>
  <c r="H219" i="1" s="1"/>
  <c r="F219" i="1"/>
  <c r="D219" i="1"/>
  <c r="G218" i="1"/>
  <c r="H218" i="1" s="1"/>
  <c r="F218" i="1"/>
  <c r="D218" i="1"/>
  <c r="G217" i="1"/>
  <c r="H217" i="1" s="1"/>
  <c r="F217" i="1"/>
  <c r="D217" i="1"/>
  <c r="G216" i="1"/>
  <c r="H216" i="1" s="1"/>
  <c r="F216" i="1"/>
  <c r="D216" i="1"/>
  <c r="G215" i="1"/>
  <c r="H215" i="1" s="1"/>
  <c r="F215" i="1"/>
  <c r="D215" i="1"/>
  <c r="G214" i="1"/>
  <c r="H214" i="1" s="1"/>
  <c r="F214" i="1"/>
  <c r="D214" i="1"/>
  <c r="G213" i="1"/>
  <c r="H213" i="1" s="1"/>
  <c r="F213" i="1"/>
  <c r="D213" i="1"/>
  <c r="G212" i="1"/>
  <c r="H212" i="1" s="1"/>
  <c r="F212" i="1"/>
  <c r="D212" i="1"/>
  <c r="G211" i="1"/>
  <c r="H211" i="1" s="1"/>
  <c r="F211" i="1"/>
  <c r="D211" i="1"/>
  <c r="G210" i="1"/>
  <c r="H210" i="1" s="1"/>
  <c r="F210" i="1"/>
  <c r="D210" i="1"/>
  <c r="G209" i="1"/>
  <c r="H209" i="1" s="1"/>
  <c r="F209" i="1"/>
  <c r="D209" i="1"/>
  <c r="G208" i="1"/>
  <c r="H208" i="1" s="1"/>
  <c r="F208" i="1"/>
  <c r="D208" i="1"/>
  <c r="G207" i="1"/>
  <c r="H207" i="1" s="1"/>
  <c r="F207" i="1"/>
  <c r="D207" i="1"/>
  <c r="G206" i="1"/>
  <c r="H206" i="1" s="1"/>
  <c r="F206" i="1"/>
  <c r="D206" i="1"/>
  <c r="G205" i="1"/>
  <c r="H205" i="1" s="1"/>
  <c r="F205" i="1"/>
  <c r="D205" i="1"/>
  <c r="G204" i="1"/>
  <c r="H204" i="1" s="1"/>
  <c r="F204" i="1"/>
  <c r="D204" i="1"/>
  <c r="G203" i="1"/>
  <c r="H203" i="1" s="1"/>
  <c r="F203" i="1"/>
  <c r="D203" i="1"/>
  <c r="G202" i="1"/>
  <c r="H202" i="1" s="1"/>
  <c r="F202" i="1"/>
  <c r="D202" i="1"/>
  <c r="G201" i="1"/>
  <c r="H201" i="1" s="1"/>
  <c r="F201" i="1"/>
  <c r="D201" i="1"/>
  <c r="G200" i="1"/>
  <c r="H200" i="1" s="1"/>
  <c r="F200" i="1"/>
  <c r="D200" i="1"/>
  <c r="G199" i="1"/>
  <c r="H199" i="1" s="1"/>
  <c r="F199" i="1"/>
  <c r="D199" i="1"/>
  <c r="G198" i="1"/>
  <c r="H198" i="1" s="1"/>
  <c r="F198" i="1"/>
  <c r="D198" i="1"/>
  <c r="G197" i="1"/>
  <c r="H197" i="1" s="1"/>
  <c r="F197" i="1"/>
  <c r="D197" i="1"/>
  <c r="G196" i="1"/>
  <c r="H196" i="1" s="1"/>
  <c r="F196" i="1"/>
  <c r="D196" i="1"/>
  <c r="G195" i="1"/>
  <c r="H195" i="1" s="1"/>
  <c r="F195" i="1"/>
  <c r="D195" i="1"/>
  <c r="G194" i="1"/>
  <c r="H194" i="1" s="1"/>
  <c r="F194" i="1"/>
  <c r="D194" i="1"/>
  <c r="G193" i="1"/>
  <c r="H193" i="1" s="1"/>
  <c r="F193" i="1"/>
  <c r="D193" i="1"/>
  <c r="G192" i="1"/>
  <c r="H192" i="1" s="1"/>
  <c r="F192" i="1"/>
  <c r="D192" i="1"/>
  <c r="G191" i="1"/>
  <c r="H191" i="1" s="1"/>
  <c r="F191" i="1"/>
  <c r="D191" i="1"/>
  <c r="G190" i="1"/>
  <c r="H190" i="1" s="1"/>
  <c r="F190" i="1"/>
  <c r="D190" i="1"/>
  <c r="G189" i="1"/>
  <c r="H189" i="1" s="1"/>
  <c r="F189" i="1"/>
  <c r="D189" i="1"/>
  <c r="G188" i="1"/>
  <c r="H188" i="1" s="1"/>
  <c r="F188" i="1"/>
  <c r="D188" i="1"/>
  <c r="G187" i="1"/>
  <c r="H187" i="1" s="1"/>
  <c r="F187" i="1"/>
  <c r="D187" i="1"/>
  <c r="G186" i="1"/>
  <c r="H186" i="1" s="1"/>
  <c r="F186" i="1"/>
  <c r="D186" i="1"/>
  <c r="G185" i="1"/>
  <c r="H185" i="1" s="1"/>
  <c r="F185" i="1"/>
  <c r="D185" i="1"/>
  <c r="G184" i="1" l="1"/>
  <c r="H184" i="1" s="1"/>
  <c r="F184" i="1"/>
  <c r="D184" i="1"/>
  <c r="G183" i="1"/>
  <c r="H183" i="1" s="1"/>
  <c r="F183" i="1"/>
  <c r="D183" i="1"/>
  <c r="G182" i="1"/>
  <c r="H182" i="1" s="1"/>
  <c r="F182" i="1"/>
  <c r="D182" i="1"/>
  <c r="G181" i="1"/>
  <c r="H181" i="1" s="1"/>
  <c r="F181" i="1"/>
  <c r="D181" i="1"/>
  <c r="G180" i="1"/>
  <c r="H180" i="1" s="1"/>
  <c r="F180" i="1"/>
  <c r="D180" i="1"/>
  <c r="G179" i="1"/>
  <c r="H179" i="1" s="1"/>
  <c r="F179" i="1"/>
  <c r="D179" i="1"/>
  <c r="G178" i="1"/>
  <c r="H178" i="1" s="1"/>
  <c r="F178" i="1"/>
  <c r="D178" i="1"/>
  <c r="G177" i="1"/>
  <c r="H177" i="1" s="1"/>
  <c r="F177" i="1"/>
  <c r="D177" i="1"/>
  <c r="G176" i="1"/>
  <c r="H176" i="1" s="1"/>
  <c r="F176" i="1"/>
  <c r="D176" i="1"/>
  <c r="G175" i="1"/>
  <c r="H175" i="1" s="1"/>
  <c r="F175" i="1"/>
  <c r="D175" i="1"/>
  <c r="G174" i="1"/>
  <c r="H174" i="1" s="1"/>
  <c r="F174" i="1"/>
  <c r="D174" i="1"/>
  <c r="G173" i="1"/>
  <c r="H173" i="1" s="1"/>
  <c r="F173" i="1"/>
  <c r="D173" i="1"/>
  <c r="G172" i="1"/>
  <c r="H172" i="1" s="1"/>
  <c r="F172" i="1"/>
  <c r="D172" i="1"/>
  <c r="G171" i="1"/>
  <c r="H171" i="1" s="1"/>
  <c r="F171" i="1"/>
  <c r="D171" i="1"/>
  <c r="G170" i="1"/>
  <c r="H170" i="1" s="1"/>
  <c r="F170" i="1"/>
  <c r="D170" i="1"/>
  <c r="G169" i="1"/>
  <c r="H169" i="1" s="1"/>
  <c r="F169" i="1"/>
  <c r="D169" i="1"/>
  <c r="G168" i="1"/>
  <c r="H168" i="1" s="1"/>
  <c r="F168" i="1"/>
  <c r="D168" i="1"/>
  <c r="G167" i="1"/>
  <c r="H167" i="1" s="1"/>
  <c r="F167" i="1"/>
  <c r="D167" i="1"/>
  <c r="G166" i="1"/>
  <c r="H166" i="1" s="1"/>
  <c r="F166" i="1"/>
  <c r="D166" i="1"/>
  <c r="G165" i="1"/>
  <c r="H165" i="1" s="1"/>
  <c r="F165" i="1"/>
  <c r="D165" i="1"/>
  <c r="G164" i="1"/>
  <c r="H164" i="1" s="1"/>
  <c r="F164" i="1"/>
  <c r="D164" i="1"/>
  <c r="G163" i="1"/>
  <c r="H163" i="1" s="1"/>
  <c r="F163" i="1"/>
  <c r="D163" i="1"/>
  <c r="G162" i="1"/>
  <c r="H162" i="1" s="1"/>
  <c r="F162" i="1"/>
  <c r="D162" i="1"/>
  <c r="G161" i="1"/>
  <c r="H161" i="1" s="1"/>
  <c r="F161" i="1"/>
  <c r="D161" i="1"/>
  <c r="G160" i="1"/>
  <c r="H160" i="1" s="1"/>
  <c r="F160" i="1"/>
  <c r="D160" i="1"/>
  <c r="G159" i="1"/>
  <c r="H159" i="1" s="1"/>
  <c r="F159" i="1"/>
  <c r="D159" i="1"/>
  <c r="G158" i="1"/>
  <c r="H158" i="1" s="1"/>
  <c r="F158" i="1"/>
  <c r="D158" i="1"/>
  <c r="G157" i="1"/>
  <c r="H157" i="1" s="1"/>
  <c r="F157" i="1"/>
  <c r="D157" i="1"/>
  <c r="G156" i="1"/>
  <c r="H156" i="1" s="1"/>
  <c r="F156" i="1"/>
  <c r="D156" i="1"/>
  <c r="G155" i="1"/>
  <c r="H155" i="1" s="1"/>
  <c r="F155" i="1"/>
  <c r="D155" i="1"/>
  <c r="G154" i="1"/>
  <c r="H154" i="1" s="1"/>
  <c r="F154" i="1"/>
  <c r="D154" i="1"/>
  <c r="G153" i="1"/>
  <c r="H153" i="1" s="1"/>
  <c r="F153" i="1"/>
  <c r="D153" i="1"/>
  <c r="G152" i="1"/>
  <c r="H152" i="1" s="1"/>
  <c r="F152" i="1"/>
  <c r="D152" i="1"/>
  <c r="G151" i="1"/>
  <c r="H151" i="1" s="1"/>
  <c r="F151" i="1"/>
  <c r="D151" i="1"/>
  <c r="G150" i="1"/>
  <c r="H150" i="1" s="1"/>
  <c r="F150" i="1"/>
  <c r="D150" i="1"/>
  <c r="G149" i="1"/>
  <c r="H149" i="1" s="1"/>
  <c r="F149" i="1"/>
  <c r="D149" i="1"/>
  <c r="G148" i="1"/>
  <c r="H148" i="1" s="1"/>
  <c r="F148" i="1"/>
  <c r="D148" i="1"/>
  <c r="G147" i="1"/>
  <c r="H147" i="1" s="1"/>
  <c r="F147" i="1"/>
  <c r="D147" i="1"/>
  <c r="G146" i="1"/>
  <c r="H146" i="1" s="1"/>
  <c r="F146" i="1"/>
  <c r="D146" i="1"/>
  <c r="G145" i="1"/>
  <c r="H145" i="1" s="1"/>
  <c r="F145" i="1"/>
  <c r="D145" i="1"/>
  <c r="G144" i="1"/>
  <c r="H144" i="1" s="1"/>
  <c r="F144" i="1"/>
  <c r="D144" i="1"/>
  <c r="G143" i="1"/>
  <c r="H143" i="1" s="1"/>
  <c r="F143" i="1"/>
  <c r="D143" i="1"/>
  <c r="G142" i="1"/>
  <c r="H142" i="1" s="1"/>
  <c r="F142" i="1"/>
  <c r="D142" i="1"/>
  <c r="G141" i="1"/>
  <c r="H141" i="1" s="1"/>
  <c r="F141" i="1"/>
  <c r="D141" i="1"/>
  <c r="G140" i="1"/>
  <c r="H140" i="1" s="1"/>
  <c r="F140" i="1"/>
  <c r="D140" i="1"/>
  <c r="G139" i="1"/>
  <c r="H139" i="1" s="1"/>
  <c r="F139" i="1"/>
  <c r="D139" i="1"/>
  <c r="G138" i="1"/>
  <c r="H138" i="1" s="1"/>
  <c r="F138" i="1"/>
  <c r="D138" i="1"/>
  <c r="G137" i="1"/>
  <c r="H137" i="1" s="1"/>
  <c r="F137" i="1"/>
  <c r="D137" i="1"/>
  <c r="G136" i="1"/>
  <c r="H136" i="1" s="1"/>
  <c r="F136" i="1"/>
  <c r="D136" i="1"/>
  <c r="G135" i="1"/>
  <c r="H135" i="1" s="1"/>
  <c r="F135" i="1"/>
  <c r="D135" i="1"/>
  <c r="G134" i="1"/>
  <c r="H134" i="1" s="1"/>
  <c r="F134" i="1"/>
  <c r="D134" i="1"/>
  <c r="G133" i="1"/>
  <c r="H133" i="1" s="1"/>
  <c r="F133" i="1"/>
  <c r="D133" i="1"/>
  <c r="G132" i="1"/>
  <c r="H132" i="1" s="1"/>
  <c r="F132" i="1"/>
  <c r="D132" i="1"/>
  <c r="G131" i="1"/>
  <c r="H131" i="1" s="1"/>
  <c r="F131" i="1"/>
  <c r="D131" i="1"/>
  <c r="G130" i="1"/>
  <c r="H130" i="1" s="1"/>
  <c r="F130" i="1"/>
  <c r="D130" i="1"/>
  <c r="G129" i="1"/>
  <c r="H129" i="1" s="1"/>
  <c r="F129" i="1"/>
  <c r="D129" i="1"/>
  <c r="G128" i="1"/>
  <c r="H128" i="1" s="1"/>
  <c r="F128" i="1"/>
  <c r="D128" i="1"/>
  <c r="G127" i="1"/>
  <c r="H127" i="1" s="1"/>
  <c r="F127" i="1"/>
  <c r="D127" i="1"/>
  <c r="G126" i="1"/>
  <c r="H126" i="1" s="1"/>
  <c r="F126" i="1"/>
  <c r="D126" i="1"/>
  <c r="G125" i="1"/>
  <c r="H125" i="1" s="1"/>
  <c r="F125" i="1"/>
  <c r="D125" i="1"/>
  <c r="G124" i="1"/>
  <c r="H124" i="1" s="1"/>
  <c r="F124" i="1"/>
  <c r="D124" i="1"/>
  <c r="G123" i="1"/>
  <c r="H123" i="1" s="1"/>
  <c r="F123" i="1"/>
  <c r="D123" i="1"/>
  <c r="G122" i="1"/>
  <c r="H122" i="1" s="1"/>
  <c r="F122" i="1"/>
  <c r="D122" i="1"/>
  <c r="G121" i="1"/>
  <c r="H121" i="1" s="1"/>
  <c r="F121" i="1"/>
  <c r="D121" i="1"/>
  <c r="G120" i="1"/>
  <c r="H120" i="1" s="1"/>
  <c r="F120" i="1"/>
  <c r="D120" i="1"/>
  <c r="G119" i="1"/>
  <c r="H119" i="1" s="1"/>
  <c r="F119" i="1"/>
  <c r="D119" i="1"/>
  <c r="G118" i="1"/>
  <c r="H118" i="1" s="1"/>
  <c r="F118" i="1"/>
  <c r="D118" i="1"/>
  <c r="G117" i="1"/>
  <c r="H117" i="1" s="1"/>
  <c r="F117" i="1"/>
  <c r="D117" i="1"/>
  <c r="G116" i="1"/>
  <c r="H116" i="1" s="1"/>
  <c r="F116" i="1"/>
  <c r="D116" i="1"/>
  <c r="G115" i="1"/>
  <c r="H115" i="1" s="1"/>
  <c r="F115" i="1"/>
  <c r="D115" i="1"/>
  <c r="G114" i="1"/>
  <c r="H114" i="1" s="1"/>
  <c r="F114" i="1"/>
  <c r="D114" i="1"/>
  <c r="G113" i="1"/>
  <c r="H113" i="1" s="1"/>
  <c r="F113" i="1"/>
  <c r="D113" i="1"/>
  <c r="G112" i="1"/>
  <c r="H112" i="1" s="1"/>
  <c r="F112" i="1"/>
  <c r="D112" i="1"/>
  <c r="G111" i="1"/>
  <c r="H111" i="1" s="1"/>
  <c r="F111" i="1"/>
  <c r="D111" i="1"/>
  <c r="G110" i="1"/>
  <c r="H110" i="1" s="1"/>
  <c r="F110" i="1"/>
  <c r="D110" i="1"/>
  <c r="G109" i="1"/>
  <c r="H109" i="1" s="1"/>
  <c r="F109" i="1"/>
  <c r="D109" i="1"/>
  <c r="G108" i="1"/>
  <c r="H108" i="1" s="1"/>
  <c r="F108" i="1"/>
  <c r="D108" i="1"/>
  <c r="G107" i="1"/>
  <c r="H107" i="1" s="1"/>
  <c r="F107" i="1"/>
  <c r="D107" i="1"/>
  <c r="G106" i="1"/>
  <c r="H106" i="1" s="1"/>
  <c r="F106" i="1"/>
  <c r="D106" i="1"/>
  <c r="G105" i="1"/>
  <c r="H105" i="1" s="1"/>
  <c r="F105" i="1"/>
  <c r="D105" i="1"/>
  <c r="G104" i="1"/>
  <c r="H104" i="1" s="1"/>
  <c r="F104" i="1"/>
  <c r="D104" i="1"/>
  <c r="G103" i="1"/>
  <c r="H103" i="1" s="1"/>
  <c r="F103" i="1"/>
  <c r="D103" i="1"/>
  <c r="G102" i="1"/>
  <c r="H102" i="1" s="1"/>
  <c r="F102" i="1"/>
  <c r="D102" i="1"/>
  <c r="G101" i="1"/>
  <c r="H101" i="1" s="1"/>
  <c r="F101" i="1"/>
  <c r="D101" i="1"/>
  <c r="G100" i="1"/>
  <c r="H100" i="1" s="1"/>
  <c r="F100" i="1"/>
  <c r="D100" i="1"/>
  <c r="G99" i="1"/>
  <c r="H99" i="1" s="1"/>
  <c r="F99" i="1"/>
  <c r="D99" i="1"/>
  <c r="G98" i="1"/>
  <c r="H98" i="1" s="1"/>
  <c r="F98" i="1"/>
  <c r="D98" i="1"/>
  <c r="G97" i="1"/>
  <c r="H97" i="1" s="1"/>
  <c r="F97" i="1"/>
  <c r="D97" i="1"/>
  <c r="G96" i="1"/>
  <c r="H96" i="1" s="1"/>
  <c r="F96" i="1"/>
  <c r="D96" i="1"/>
  <c r="G95" i="1"/>
  <c r="H95" i="1" s="1"/>
  <c r="F95" i="1"/>
  <c r="D95" i="1"/>
  <c r="G94" i="1"/>
  <c r="H94" i="1" s="1"/>
  <c r="F94" i="1"/>
  <c r="D94" i="1"/>
  <c r="G93" i="1"/>
  <c r="H93" i="1" s="1"/>
  <c r="F93" i="1"/>
  <c r="D93" i="1"/>
  <c r="G92" i="1"/>
  <c r="H92" i="1" s="1"/>
  <c r="F92" i="1"/>
  <c r="D92" i="1"/>
  <c r="G91" i="1"/>
  <c r="H91" i="1" s="1"/>
  <c r="F91" i="1"/>
  <c r="D91" i="1"/>
  <c r="G90" i="1"/>
  <c r="H90" i="1" s="1"/>
  <c r="F90" i="1"/>
  <c r="D90" i="1"/>
  <c r="G89" i="1"/>
  <c r="H89" i="1" s="1"/>
  <c r="F89" i="1"/>
  <c r="D89" i="1"/>
  <c r="G88" i="1"/>
  <c r="H88" i="1" s="1"/>
  <c r="F88" i="1"/>
  <c r="D88" i="1"/>
  <c r="G87" i="1"/>
  <c r="H87" i="1" s="1"/>
  <c r="F87" i="1"/>
  <c r="D87" i="1"/>
  <c r="G86" i="1"/>
  <c r="H86" i="1" s="1"/>
  <c r="F86" i="1"/>
  <c r="D86" i="1"/>
  <c r="G85" i="1"/>
  <c r="H85" i="1" s="1"/>
  <c r="F85" i="1"/>
  <c r="D85" i="1"/>
  <c r="G84" i="1"/>
  <c r="H84" i="1" s="1"/>
  <c r="F84" i="1"/>
  <c r="D84" i="1"/>
  <c r="G83" i="1"/>
  <c r="H83" i="1" s="1"/>
  <c r="F83" i="1"/>
  <c r="D83" i="1"/>
  <c r="G82" i="1"/>
  <c r="H82" i="1" s="1"/>
  <c r="F82" i="1"/>
  <c r="D82" i="1"/>
  <c r="G81" i="1"/>
  <c r="H81" i="1" s="1"/>
  <c r="F81" i="1"/>
  <c r="D81" i="1"/>
  <c r="G80" i="1"/>
  <c r="H80" i="1" s="1"/>
  <c r="F80" i="1"/>
  <c r="D80" i="1"/>
  <c r="G79" i="1"/>
  <c r="H79" i="1" s="1"/>
  <c r="F79" i="1"/>
  <c r="D79" i="1"/>
  <c r="G78" i="1"/>
  <c r="H78" i="1" s="1"/>
  <c r="F78" i="1"/>
  <c r="D78" i="1"/>
  <c r="G77" i="1"/>
  <c r="H77" i="1" s="1"/>
  <c r="F77" i="1"/>
  <c r="D77" i="1"/>
  <c r="G76" i="1"/>
  <c r="H76" i="1" s="1"/>
  <c r="F76" i="1"/>
  <c r="D76" i="1"/>
  <c r="G75" i="1"/>
  <c r="H75" i="1" s="1"/>
  <c r="F75" i="1"/>
  <c r="D75" i="1"/>
  <c r="G74" i="1"/>
  <c r="H74" i="1" s="1"/>
  <c r="F74" i="1"/>
  <c r="D74" i="1"/>
  <c r="G73" i="1"/>
  <c r="H73" i="1" s="1"/>
  <c r="F73" i="1"/>
  <c r="D73" i="1"/>
  <c r="G72" i="1"/>
  <c r="H72" i="1" s="1"/>
  <c r="F72" i="1"/>
  <c r="D72" i="1"/>
  <c r="G71" i="1"/>
  <c r="H71" i="1" s="1"/>
  <c r="F71" i="1"/>
  <c r="D71" i="1"/>
  <c r="G70" i="1"/>
  <c r="H70" i="1" s="1"/>
  <c r="F70" i="1"/>
  <c r="D70" i="1"/>
  <c r="G69" i="1"/>
  <c r="H69" i="1" s="1"/>
  <c r="F69" i="1"/>
  <c r="D69" i="1"/>
  <c r="G68" i="1"/>
  <c r="H68" i="1" s="1"/>
  <c r="F68" i="1"/>
  <c r="D68" i="1"/>
  <c r="G67" i="1"/>
  <c r="H67" i="1" s="1"/>
  <c r="F67" i="1"/>
  <c r="D67" i="1"/>
  <c r="G66" i="1"/>
  <c r="H66" i="1" s="1"/>
  <c r="F66" i="1"/>
  <c r="D66" i="1"/>
  <c r="G65" i="1"/>
  <c r="H65" i="1" s="1"/>
  <c r="F65" i="1"/>
  <c r="D65" i="1"/>
  <c r="G64" i="1"/>
  <c r="H64" i="1" s="1"/>
  <c r="F64" i="1"/>
  <c r="D64" i="1"/>
  <c r="G63" i="1"/>
  <c r="H63" i="1" s="1"/>
  <c r="F63" i="1"/>
  <c r="D63" i="1"/>
  <c r="G62" i="1"/>
  <c r="H62" i="1" s="1"/>
  <c r="F62" i="1"/>
  <c r="D62" i="1"/>
  <c r="G61" i="1"/>
  <c r="H61" i="1" s="1"/>
  <c r="F61" i="1"/>
  <c r="D61" i="1"/>
  <c r="G60" i="1"/>
  <c r="H60" i="1" s="1"/>
  <c r="F60" i="1"/>
  <c r="D60" i="1"/>
  <c r="G59" i="1"/>
  <c r="H59" i="1" s="1"/>
  <c r="F59" i="1"/>
  <c r="D59" i="1"/>
  <c r="G58" i="1"/>
  <c r="H58" i="1" s="1"/>
  <c r="F58" i="1"/>
  <c r="D58" i="1"/>
  <c r="G57" i="1"/>
  <c r="H57" i="1" s="1"/>
  <c r="F57" i="1"/>
  <c r="D57" i="1"/>
  <c r="G56" i="1"/>
  <c r="H56" i="1" s="1"/>
  <c r="F56" i="1"/>
  <c r="D56" i="1"/>
  <c r="G55" i="1"/>
  <c r="H55" i="1" s="1"/>
  <c r="F55" i="1"/>
  <c r="D55" i="1"/>
  <c r="G54" i="1"/>
  <c r="H54" i="1" s="1"/>
  <c r="F54" i="1"/>
  <c r="D54" i="1"/>
  <c r="G53" i="1"/>
  <c r="H53" i="1" s="1"/>
  <c r="F53" i="1"/>
  <c r="D53" i="1"/>
  <c r="G52" i="1"/>
  <c r="H52" i="1" s="1"/>
  <c r="F52" i="1"/>
  <c r="D52" i="1"/>
  <c r="G51" i="1"/>
  <c r="H51" i="1" s="1"/>
  <c r="F51" i="1"/>
  <c r="D51" i="1"/>
  <c r="G50" i="1"/>
  <c r="H50" i="1" s="1"/>
  <c r="F50" i="1"/>
  <c r="D50" i="1"/>
  <c r="G49" i="1"/>
  <c r="H49" i="1" s="1"/>
  <c r="F49" i="1"/>
  <c r="D49" i="1"/>
  <c r="G48" i="1"/>
  <c r="H48" i="1" s="1"/>
  <c r="F48" i="1"/>
  <c r="D48" i="1"/>
  <c r="G47" i="1"/>
  <c r="H47" i="1" s="1"/>
  <c r="F47" i="1"/>
  <c r="D47" i="1"/>
  <c r="G46" i="1"/>
  <c r="H46" i="1" s="1"/>
  <c r="F46" i="1"/>
  <c r="D46" i="1"/>
  <c r="G45" i="1"/>
  <c r="H45" i="1" s="1"/>
  <c r="F45" i="1"/>
  <c r="D45" i="1"/>
  <c r="G44" i="1"/>
  <c r="H44" i="1" s="1"/>
  <c r="F44" i="1"/>
  <c r="D44" i="1"/>
  <c r="G43" i="1"/>
  <c r="H43" i="1" s="1"/>
  <c r="F43" i="1"/>
  <c r="D43" i="1"/>
  <c r="G42" i="1"/>
  <c r="H42" i="1" s="1"/>
  <c r="F42" i="1"/>
  <c r="D42" i="1"/>
  <c r="G41" i="1"/>
  <c r="H41" i="1" s="1"/>
  <c r="F41" i="1"/>
  <c r="D41" i="1"/>
  <c r="G40" i="1"/>
  <c r="H40" i="1" s="1"/>
  <c r="F40" i="1"/>
  <c r="D40" i="1"/>
  <c r="G39" i="1"/>
  <c r="H39" i="1" s="1"/>
  <c r="F39" i="1"/>
  <c r="D39" i="1"/>
  <c r="G38" i="1"/>
  <c r="H38" i="1" s="1"/>
  <c r="F38" i="1"/>
  <c r="D38" i="1"/>
  <c r="G37" i="1"/>
  <c r="H37" i="1" s="1"/>
  <c r="F37" i="1"/>
  <c r="D37" i="1"/>
  <c r="G36" i="1"/>
  <c r="H36" i="1" s="1"/>
  <c r="F36" i="1"/>
  <c r="D36" i="1"/>
  <c r="G35" i="1"/>
  <c r="H35" i="1" s="1"/>
  <c r="F35" i="1"/>
  <c r="D35" i="1"/>
  <c r="G34" i="1"/>
  <c r="H34" i="1" s="1"/>
  <c r="F34" i="1"/>
  <c r="D34" i="1"/>
  <c r="G33" i="1"/>
  <c r="H33" i="1" s="1"/>
  <c r="F33" i="1"/>
  <c r="D33" i="1"/>
  <c r="G32" i="1"/>
  <c r="H32" i="1" s="1"/>
  <c r="F32" i="1"/>
  <c r="D32" i="1"/>
  <c r="G31" i="1"/>
  <c r="H31" i="1" s="1"/>
  <c r="F31" i="1"/>
  <c r="D31" i="1"/>
  <c r="G30" i="1"/>
  <c r="H30" i="1" s="1"/>
  <c r="F30" i="1"/>
  <c r="D30" i="1"/>
  <c r="G29" i="1"/>
  <c r="H29" i="1" s="1"/>
  <c r="F29" i="1"/>
  <c r="D29" i="1"/>
  <c r="G28" i="1"/>
  <c r="H28" i="1" s="1"/>
  <c r="F28" i="1"/>
  <c r="D28" i="1"/>
  <c r="G27" i="1"/>
  <c r="H27" i="1" s="1"/>
  <c r="F27" i="1"/>
  <c r="D27" i="1"/>
  <c r="G26" i="1"/>
  <c r="H26" i="1" s="1"/>
  <c r="F26" i="1"/>
  <c r="D26" i="1"/>
  <c r="G25" i="1"/>
  <c r="H25" i="1" s="1"/>
  <c r="F25" i="1"/>
  <c r="D25" i="1"/>
  <c r="G24" i="1"/>
  <c r="H24" i="1" s="1"/>
  <c r="F24" i="1"/>
  <c r="D24" i="1"/>
  <c r="G23" i="1"/>
  <c r="H23" i="1" s="1"/>
  <c r="F23" i="1"/>
  <c r="D23" i="1"/>
  <c r="F18" i="1" l="1"/>
  <c r="G18" i="1" l="1"/>
</calcChain>
</file>

<file path=xl/sharedStrings.xml><?xml version="1.0" encoding="utf-8"?>
<sst xmlns="http://schemas.openxmlformats.org/spreadsheetml/2006/main" count="1764" uniqueCount="1251">
  <si>
    <t>Cod. Repres.</t>
  </si>
  <si>
    <t>Dt.Emissão</t>
  </si>
  <si>
    <t>Prazo Entrega</t>
  </si>
  <si>
    <t>Cond. Pagto</t>
  </si>
  <si>
    <t>Transportadora</t>
  </si>
  <si>
    <t>CNPJ/CPF</t>
  </si>
  <si>
    <t>IE/RG</t>
  </si>
  <si>
    <t>Tp.Pessoa</t>
  </si>
  <si>
    <t xml:space="preserve">Fantasia </t>
  </si>
  <si>
    <t>Razão Social</t>
  </si>
  <si>
    <t>Cep</t>
  </si>
  <si>
    <t>Endereço</t>
  </si>
  <si>
    <t>Compl.</t>
  </si>
  <si>
    <t>Bairro</t>
  </si>
  <si>
    <t xml:space="preserve">Cidade </t>
  </si>
  <si>
    <t>UF</t>
  </si>
  <si>
    <t>E-mail</t>
  </si>
  <si>
    <t>Telefone</t>
  </si>
  <si>
    <t>Codigo</t>
  </si>
  <si>
    <t>Descrição</t>
  </si>
  <si>
    <t>Prc. Unitário</t>
  </si>
  <si>
    <t>Total Item</t>
  </si>
  <si>
    <t>Frete</t>
  </si>
  <si>
    <t>No.Ped.Cliente</t>
  </si>
  <si>
    <t>DADOS DO CLIENTE</t>
  </si>
  <si>
    <t>DADOS DO PEDIDO</t>
  </si>
  <si>
    <t>EMBAL</t>
  </si>
  <si>
    <t>Itens</t>
  </si>
  <si>
    <t xml:space="preserve"> </t>
  </si>
  <si>
    <t>PEDIDO DE VENDA INTEGRADO</t>
  </si>
  <si>
    <t>VALOR TOTAL s/ ST</t>
  </si>
  <si>
    <t xml:space="preserve">CACHEPOT RETANGULAR M AZUL                        </t>
  </si>
  <si>
    <t xml:space="preserve">CACHEPOT RETANGULAR M BRANCO                      </t>
  </si>
  <si>
    <t xml:space="preserve">CACHEPOT RETANGULAR M PINK C GLITER               </t>
  </si>
  <si>
    <t xml:space="preserve">CACHEPOT RETANGULAR M PRETO COM GLITER            </t>
  </si>
  <si>
    <t xml:space="preserve">CACHEPOT RETANGULAR M TRANSPARENTE COM GLITER     </t>
  </si>
  <si>
    <t xml:space="preserve">CACHEPOT RETANGULAR M VERMELHO RUBI COM GLITER    </t>
  </si>
  <si>
    <t xml:space="preserve">CONJUNTO POTE TAMPA PALITEIRO-BRANCA              </t>
  </si>
  <si>
    <t xml:space="preserve">CONJUNTO POTE TAMPA SALEIRO-BRANCA                </t>
  </si>
  <si>
    <t xml:space="preserve">COPO 250ML GOLD AMARELO FLUOR                     </t>
  </si>
  <si>
    <t xml:space="preserve">COPO 250ML GOLD AZUL TRANSP                       </t>
  </si>
  <si>
    <t xml:space="preserve">COPO 250ML GOLD LARANJA FLUOR                     </t>
  </si>
  <si>
    <t xml:space="preserve">COPO 250ML GOLD PINK FLUOR                        </t>
  </si>
  <si>
    <t xml:space="preserve">COPO 250ML GOLD PRETO COM GLITTER                 </t>
  </si>
  <si>
    <t xml:space="preserve">COPO 250ML GOLD ROSA COM GLITER                   </t>
  </si>
  <si>
    <t xml:space="preserve">COPO 250ML GOLD VERDE COM GLITER                  </t>
  </si>
  <si>
    <t xml:space="preserve">COPO 250ML GOLD VERDE FLUOR                       </t>
  </si>
  <si>
    <t xml:space="preserve">COPO 250ML GOLD VERMELHO COM GLITER               </t>
  </si>
  <si>
    <t xml:space="preserve">COPO 250ML GOLD VERMELHO RUBI                     </t>
  </si>
  <si>
    <t xml:space="preserve">MALETA BOLA AMARELO                               </t>
  </si>
  <si>
    <t xml:space="preserve">MALETA BOLA AZUL                                  </t>
  </si>
  <si>
    <t xml:space="preserve">MALETA BOLA BRANCO                                </t>
  </si>
  <si>
    <t xml:space="preserve">MALETA BOLA PRETA                                 </t>
  </si>
  <si>
    <t xml:space="preserve">MALETA BOLA TRANSPARENTE                          </t>
  </si>
  <si>
    <t xml:space="preserve">MALETA BOLA VERDE                                 </t>
  </si>
  <si>
    <t xml:space="preserve">MALETA BOLA VERMELHO                              </t>
  </si>
  <si>
    <t xml:space="preserve">MALETA BOLA DUPLA  BRANCO  PRETO                 </t>
  </si>
  <si>
    <t xml:space="preserve">MALETA BOLA DUPLA  VERMELHO  PRETO               </t>
  </si>
  <si>
    <t xml:space="preserve">MALETA BOLA DUPLA PRETO  BRANCO                  </t>
  </si>
  <si>
    <t xml:space="preserve">MALETA BORBOLETA AZUL  PEROLIZADO                 </t>
  </si>
  <si>
    <t xml:space="preserve">MALETA BORBOLETA ROSA COM GLITER                  </t>
  </si>
  <si>
    <t xml:space="preserve">MALETA BORBOLETA ROSA PEROLIZADO                  </t>
  </si>
  <si>
    <t xml:space="preserve">MALETA BORBOLETA TRANSPARENTE COM GLITER          </t>
  </si>
  <si>
    <t xml:space="preserve">MALETA BORBOLETA VERMELHO COM GLITER              </t>
  </si>
  <si>
    <t xml:space="preserve">MALETA MORANGO ROSA COM GLITER                    </t>
  </si>
  <si>
    <t xml:space="preserve">MALETA MORANGO TRANSPARENTE COM GLITER            </t>
  </si>
  <si>
    <t>F1051</t>
  </si>
  <si>
    <t>F1052</t>
  </si>
  <si>
    <t>F1053</t>
  </si>
  <si>
    <t>F1055</t>
  </si>
  <si>
    <t>F1056</t>
  </si>
  <si>
    <t>F1058</t>
  </si>
  <si>
    <t>F1059</t>
  </si>
  <si>
    <t>F1060</t>
  </si>
  <si>
    <t>F1061</t>
  </si>
  <si>
    <t>MALETA BAU AMARELO / ALÇA</t>
  </si>
  <si>
    <t>F1062</t>
  </si>
  <si>
    <t>MALETA BAU PRETO /ALÇA</t>
  </si>
  <si>
    <t>F1063</t>
  </si>
  <si>
    <t>MALETA BAU BRANCO /ALÇA</t>
  </si>
  <si>
    <t>F1064</t>
  </si>
  <si>
    <t>F1065</t>
  </si>
  <si>
    <t>MALETA BAU AZUL ESCURO /ALÇA</t>
  </si>
  <si>
    <t>F1066</t>
  </si>
  <si>
    <t>MALETA BAU VERDE /ALÇA</t>
  </si>
  <si>
    <t>F1067</t>
  </si>
  <si>
    <t>F1068</t>
  </si>
  <si>
    <t>MALETA BAU VERMELHO /ALÇA</t>
  </si>
  <si>
    <t>F1069</t>
  </si>
  <si>
    <t>MALETA BAU LILÀS C/GLITER/ALÇA</t>
  </si>
  <si>
    <t>F1070</t>
  </si>
  <si>
    <t>MALETA BAU VERMELHO C/ GLITER  /ALÇA</t>
  </si>
  <si>
    <t>F1071</t>
  </si>
  <si>
    <t>MALETA BAU TRANSPARENTE  C/ GLITER  /ALÇA</t>
  </si>
  <si>
    <t>F1075</t>
  </si>
  <si>
    <t>F1123</t>
  </si>
  <si>
    <t>F1079</t>
  </si>
  <si>
    <t>F1083</t>
  </si>
  <si>
    <t>F1076</t>
  </si>
  <si>
    <t>F1087</t>
  </si>
  <si>
    <t>F1090</t>
  </si>
  <si>
    <t>F1091</t>
  </si>
  <si>
    <t>F1092</t>
  </si>
  <si>
    <t>F1093</t>
  </si>
  <si>
    <t>F1095</t>
  </si>
  <si>
    <t>F1096</t>
  </si>
  <si>
    <t>F1098</t>
  </si>
  <si>
    <t>F1099</t>
  </si>
  <si>
    <t>F1100</t>
  </si>
  <si>
    <t>F1107</t>
  </si>
  <si>
    <t>F1108</t>
  </si>
  <si>
    <t>F1109</t>
  </si>
  <si>
    <t>F1118</t>
  </si>
  <si>
    <t>F1121</t>
  </si>
  <si>
    <t>F1122</t>
  </si>
  <si>
    <t>F2086</t>
  </si>
  <si>
    <t>F2087</t>
  </si>
  <si>
    <t>F2088</t>
  </si>
  <si>
    <t>F2089</t>
  </si>
  <si>
    <t>F2090</t>
  </si>
  <si>
    <t>F2091</t>
  </si>
  <si>
    <t>F2092</t>
  </si>
  <si>
    <t>F2093</t>
  </si>
  <si>
    <t>F2094</t>
  </si>
  <si>
    <t>F2096</t>
  </si>
  <si>
    <t>F2097</t>
  </si>
  <si>
    <t>F2098</t>
  </si>
  <si>
    <t>F2099</t>
  </si>
  <si>
    <t>F2100</t>
  </si>
  <si>
    <t>F1141</t>
  </si>
  <si>
    <t>F1142</t>
  </si>
  <si>
    <t>F1143</t>
  </si>
  <si>
    <t>F1144</t>
  </si>
  <si>
    <t>F1145</t>
  </si>
  <si>
    <t>F1146</t>
  </si>
  <si>
    <t>COPO 300 ML GOLD PRETO</t>
  </si>
  <si>
    <t>F1147</t>
  </si>
  <si>
    <t>COPO 300 ML GOLD BRANCO</t>
  </si>
  <si>
    <t>F1148</t>
  </si>
  <si>
    <t>COPO 300 ML GOLD PINK</t>
  </si>
  <si>
    <t>F1149</t>
  </si>
  <si>
    <t>COPO 300 ML GOLD UVA</t>
  </si>
  <si>
    <t>F1150</t>
  </si>
  <si>
    <t>COPO 300 ML GOLD AMARELO GEMA</t>
  </si>
  <si>
    <t>F1135</t>
  </si>
  <si>
    <t>F1136</t>
  </si>
  <si>
    <t>F1139</t>
  </si>
  <si>
    <t>F1138</t>
  </si>
  <si>
    <t>F1133</t>
  </si>
  <si>
    <t>F1132</t>
  </si>
  <si>
    <t>CAIXINHA TRIANGULAR TRANSPARENTE</t>
  </si>
  <si>
    <t>F1163</t>
  </si>
  <si>
    <t>F1164</t>
  </si>
  <si>
    <t>CAIXA RETANGULAR M. TRANSPARENTE</t>
  </si>
  <si>
    <t>F1165</t>
  </si>
  <si>
    <t>F1167</t>
  </si>
  <si>
    <t>CAIXA RETANGULAR M. VERMELHO</t>
  </si>
  <si>
    <t>F1168</t>
  </si>
  <si>
    <t>CAIXA RETANGULAR M. PRETO</t>
  </si>
  <si>
    <t>F1169</t>
  </si>
  <si>
    <t>CAIXA RETANGULAR M. BRANCO</t>
  </si>
  <si>
    <t>F1171</t>
  </si>
  <si>
    <t>CAIXA RETANGULAR M. AMARELO GEMA</t>
  </si>
  <si>
    <t>F1173</t>
  </si>
  <si>
    <t>CAIXA RETANGULAR M. PINK</t>
  </si>
  <si>
    <t>Cod.</t>
  </si>
  <si>
    <t>Prc. Unit.</t>
  </si>
  <si>
    <t>%Des</t>
  </si>
  <si>
    <t>FLEX4ERP2</t>
  </si>
  <si>
    <t>Observações</t>
  </si>
  <si>
    <t>Contato</t>
  </si>
  <si>
    <t xml:space="preserve">CACHEPOT SEXTAVADO PEQUENO AZUL                             </t>
  </si>
  <si>
    <t xml:space="preserve">CACHEPOT SEXTAVADO PEQUENO PRETO                            </t>
  </si>
  <si>
    <t xml:space="preserve">CACHEPOT SEXTAVADO PEQUENO VERDE                            </t>
  </si>
  <si>
    <t xml:space="preserve">CACHEPOT SEXTAVADO PEQUENO VERMELHO                         </t>
  </si>
  <si>
    <t>F1175</t>
  </si>
  <si>
    <t>F1176</t>
  </si>
  <si>
    <t>F1177</t>
  </si>
  <si>
    <t>F1178</t>
  </si>
  <si>
    <t>F1179</t>
  </si>
  <si>
    <t>F1180</t>
  </si>
  <si>
    <t>F1181</t>
  </si>
  <si>
    <t>F1182</t>
  </si>
  <si>
    <t>F2105</t>
  </si>
  <si>
    <t xml:space="preserve">CAIXINHA FLIPTOP 6X5 AZUL </t>
  </si>
  <si>
    <t>F2106</t>
  </si>
  <si>
    <t xml:space="preserve">CAIXINHA FLIPTOP 6X5 BRANCA </t>
  </si>
  <si>
    <t>F2108</t>
  </si>
  <si>
    <t xml:space="preserve">CAIXINHA FLIPTOP 6X5 ROSA </t>
  </si>
  <si>
    <t>F2109</t>
  </si>
  <si>
    <t xml:space="preserve">CAIXINHA FLIPTOP 6X5 TRANSPARENTE </t>
  </si>
  <si>
    <t>F2111</t>
  </si>
  <si>
    <t xml:space="preserve">CAIXINHA FLIPTOP 6X5 VERMELHO </t>
  </si>
  <si>
    <t>F1184</t>
  </si>
  <si>
    <t>F1185</t>
  </si>
  <si>
    <t>F1186</t>
  </si>
  <si>
    <t>F1187</t>
  </si>
  <si>
    <t>F1188</t>
  </si>
  <si>
    <t>F1189</t>
  </si>
  <si>
    <t>F1190</t>
  </si>
  <si>
    <t>F1191</t>
  </si>
  <si>
    <t>F1202</t>
  </si>
  <si>
    <t>F1193</t>
  </si>
  <si>
    <t>F1194</t>
  </si>
  <si>
    <t>F1195</t>
  </si>
  <si>
    <t>F1196</t>
  </si>
  <si>
    <t>F1197</t>
  </si>
  <si>
    <t>F1198</t>
  </si>
  <si>
    <t>F1199</t>
  </si>
  <si>
    <t>F1200</t>
  </si>
  <si>
    <t>F2112</t>
  </si>
  <si>
    <t xml:space="preserve">MINI MALETA BOLSINHA AZUL </t>
  </si>
  <si>
    <t xml:space="preserve">MINI MALETA BOLSINHA BRANCA </t>
  </si>
  <si>
    <t xml:space="preserve">MINI MALETA BOLSINHA  LILAS </t>
  </si>
  <si>
    <t>F2115</t>
  </si>
  <si>
    <t xml:space="preserve">MINI MALETA BOLSINHA ROSA </t>
  </si>
  <si>
    <t>F2116</t>
  </si>
  <si>
    <t xml:space="preserve">MINI MALETA BOLSINHA TRANSPARENTE </t>
  </si>
  <si>
    <t>F2118</t>
  </si>
  <si>
    <t xml:space="preserve">MINI MALETA BOLSINHA VERMELHO </t>
  </si>
  <si>
    <t>F2119</t>
  </si>
  <si>
    <t xml:space="preserve">MINI MALETA BOLSINHA PRETO </t>
  </si>
  <si>
    <t>F2122</t>
  </si>
  <si>
    <t>F2121</t>
  </si>
  <si>
    <t>F2123</t>
  </si>
  <si>
    <t>F2124</t>
  </si>
  <si>
    <t>F2125</t>
  </si>
  <si>
    <t>F2126</t>
  </si>
  <si>
    <t>F2127</t>
  </si>
  <si>
    <t>F1120</t>
  </si>
  <si>
    <t xml:space="preserve">CACHEPOT SEXTAVADO PEQUENO BRANCO                           </t>
  </si>
  <si>
    <t>CACHEPOT RETANGULAR G BRANCO</t>
  </si>
  <si>
    <t>F1043</t>
  </si>
  <si>
    <t>CACHEPOT RETANGULAR G AZUL  </t>
  </si>
  <si>
    <t>F1045</t>
  </si>
  <si>
    <t>F1046</t>
  </si>
  <si>
    <t>CACHEPOT RETANGULAR G VERMELHO RUBI COM GLITER </t>
  </si>
  <si>
    <t>CACHEPOT RETANGULAR G PRETO COM GLITER</t>
  </si>
  <si>
    <t>F1050</t>
  </si>
  <si>
    <t>CACHEPOT RETANGULAR G TRANSPARENTE COM GLITER</t>
  </si>
  <si>
    <t>CAIXA ACRILICA ROSA TRANSPARENTE 5X5</t>
  </si>
  <si>
    <t>CAIXINHA TRIANGULAR  AMARELO</t>
  </si>
  <si>
    <t>CAIXINHA TRIANGULAR  VERMELHO </t>
  </si>
  <si>
    <t>COPO 300ML GOLD TRANSPARENTE</t>
  </si>
  <si>
    <t>COPO 300ML GOLD  VERDE</t>
  </si>
  <si>
    <t>COPO 300ML GOLD  VERMELHO</t>
  </si>
  <si>
    <t>F2079</t>
  </si>
  <si>
    <t>MINI MALETA BAU VERDE TRANSPARENTE</t>
  </si>
  <si>
    <t>F2133</t>
  </si>
  <si>
    <t>F2134</t>
  </si>
  <si>
    <t>F2135</t>
  </si>
  <si>
    <t>F2136</t>
  </si>
  <si>
    <t>F2137</t>
  </si>
  <si>
    <t>F2138</t>
  </si>
  <si>
    <t>F2139</t>
  </si>
  <si>
    <t>F1047</t>
  </si>
  <si>
    <t>F2168</t>
  </si>
  <si>
    <t>F2070</t>
  </si>
  <si>
    <t>F2073</t>
  </si>
  <si>
    <t>F2063</t>
  </si>
  <si>
    <t>F2065</t>
  </si>
  <si>
    <t>F2072</t>
  </si>
  <si>
    <t>F1012</t>
  </si>
  <si>
    <t>F1013</t>
  </si>
  <si>
    <t>F1014</t>
  </si>
  <si>
    <t>F1015</t>
  </si>
  <si>
    <t>F1016</t>
  </si>
  <si>
    <t>F1017</t>
  </si>
  <si>
    <t>F1018</t>
  </si>
  <si>
    <t>F1019</t>
  </si>
  <si>
    <t>F1020</t>
  </si>
  <si>
    <t>F1033</t>
  </si>
  <si>
    <t>F1031</t>
  </si>
  <si>
    <t>F1035</t>
  </si>
  <si>
    <t>F1037</t>
  </si>
  <si>
    <t>F1040</t>
  </si>
  <si>
    <t>F1036</t>
  </si>
  <si>
    <t>F1041</t>
  </si>
  <si>
    <t>001FER</t>
  </si>
  <si>
    <t>002FER</t>
  </si>
  <si>
    <t>F010</t>
  </si>
  <si>
    <t>F009</t>
  </si>
  <si>
    <t>F008</t>
  </si>
  <si>
    <t>F015</t>
  </si>
  <si>
    <t>F0018</t>
  </si>
  <si>
    <t>F007</t>
  </si>
  <si>
    <t>F018</t>
  </si>
  <si>
    <t>F016</t>
  </si>
  <si>
    <t>F014</t>
  </si>
  <si>
    <t>F006</t>
  </si>
  <si>
    <t>F013</t>
  </si>
  <si>
    <t>F011</t>
  </si>
  <si>
    <t>F2009</t>
  </si>
  <si>
    <t>F2006</t>
  </si>
  <si>
    <t>F2005</t>
  </si>
  <si>
    <t>F2008</t>
  </si>
  <si>
    <t>F2001</t>
  </si>
  <si>
    <t>F2004</t>
  </si>
  <si>
    <t>F2002</t>
  </si>
  <si>
    <t>F2041</t>
  </si>
  <si>
    <t>F2020</t>
  </si>
  <si>
    <t>F2019</t>
  </si>
  <si>
    <t>F2058</t>
  </si>
  <si>
    <t>F2054</t>
  </si>
  <si>
    <t>F2057</t>
  </si>
  <si>
    <t>F2053</t>
  </si>
  <si>
    <t>F2055</t>
  </si>
  <si>
    <t>F1005</t>
  </si>
  <si>
    <t>F1007</t>
  </si>
  <si>
    <t>F1008</t>
  </si>
  <si>
    <t>F2153</t>
  </si>
  <si>
    <t>TUBETE COROA ROSA TRANSPARENTE</t>
  </si>
  <si>
    <t>F2149</t>
  </si>
  <si>
    <t>F2150</t>
  </si>
  <si>
    <t>F2151</t>
  </si>
  <si>
    <t>F2152</t>
  </si>
  <si>
    <t>F2163</t>
  </si>
  <si>
    <t>F2164</t>
  </si>
  <si>
    <t>F2165</t>
  </si>
  <si>
    <t>COFRINHO BRANCO</t>
  </si>
  <si>
    <t>F2166</t>
  </si>
  <si>
    <t>COFRINHO AMARELO</t>
  </si>
  <si>
    <t>F2167</t>
  </si>
  <si>
    <t>COFRINHO VERMELHO</t>
  </si>
  <si>
    <t>COFRINHO VERDE BANDEIRA</t>
  </si>
  <si>
    <t>F2169</t>
  </si>
  <si>
    <t>COFRINHO TRANSPARENTE</t>
  </si>
  <si>
    <t>F2145</t>
  </si>
  <si>
    <t>F2146</t>
  </si>
  <si>
    <t>F2147</t>
  </si>
  <si>
    <t>F2148</t>
  </si>
  <si>
    <t>F2069</t>
  </si>
  <si>
    <t>F2142</t>
  </si>
  <si>
    <t>F2143</t>
  </si>
  <si>
    <t>F2144</t>
  </si>
  <si>
    <t>F2162</t>
  </si>
  <si>
    <t>COFRINHO AZUL ROYAL</t>
  </si>
  <si>
    <t>F2172</t>
  </si>
  <si>
    <t>F2193</t>
  </si>
  <si>
    <t>F2194</t>
  </si>
  <si>
    <t>F2197</t>
  </si>
  <si>
    <t>F2198</t>
  </si>
  <si>
    <t>F2199</t>
  </si>
  <si>
    <t>CAIXINHA CORAÇÃO AZUL TRANSPARENTE</t>
  </si>
  <si>
    <t>CAIXINHA CORAÇÃO ROSA TRANSPARENTE</t>
  </si>
  <si>
    <t>CAIXINHA CORAÇÃO TRANSPARENTE</t>
  </si>
  <si>
    <t>F2207</t>
  </si>
  <si>
    <t>F2211</t>
  </si>
  <si>
    <t>F2212</t>
  </si>
  <si>
    <t>F2213</t>
  </si>
  <si>
    <t>F2214</t>
  </si>
  <si>
    <t>F2218</t>
  </si>
  <si>
    <t>F2219</t>
  </si>
  <si>
    <t>F2220</t>
  </si>
  <si>
    <t>CAIXINHA REDONDA VERMELHO TRANSPARENTE</t>
  </si>
  <si>
    <t>CAIXINHA REDONDA ROSA TRANSPARENTE</t>
  </si>
  <si>
    <t>F2204</t>
  </si>
  <si>
    <t>F2205</t>
  </si>
  <si>
    <t>F2206</t>
  </si>
  <si>
    <t>F2221</t>
  </si>
  <si>
    <t>CACHEPOT OVAL AZUL BEBE</t>
  </si>
  <si>
    <t>F2140</t>
  </si>
  <si>
    <t>F2132</t>
  </si>
  <si>
    <t>F2130</t>
  </si>
  <si>
    <t>F2177</t>
  </si>
  <si>
    <t>F2184</t>
  </si>
  <si>
    <t>F2113</t>
  </si>
  <si>
    <t>F2114</t>
  </si>
  <si>
    <t>CACHEPOT QUADRADO GRANDE  AMARELO GEMA</t>
  </si>
  <si>
    <t xml:space="preserve">CACHEPOT QUADRADO GRANDE  BRANCO                           </t>
  </si>
  <si>
    <t xml:space="preserve">CACHEPOT QUADRADO GRANDE  PRETO C GLITER                  </t>
  </si>
  <si>
    <t xml:space="preserve">CACHEPOT QUADRADO GRANDE  ROSA C GLITER                   </t>
  </si>
  <si>
    <t xml:space="preserve">CACHEPOT QUADRADO  GRANDE  VERDE FLUOR                      </t>
  </si>
  <si>
    <t xml:space="preserve">CACHEPOT QUADRADO GRANDE  VERMELHO                         </t>
  </si>
  <si>
    <t xml:space="preserve">CACHEPOT  QUADRADO GRANDE TRANSPARENTE C GLITER            </t>
  </si>
  <si>
    <t>CACHEPOT SEXTAVADO PEQUENO AMARELO GEMA</t>
  </si>
  <si>
    <t>CACHEPOT QUADRADO PEQUENO  BRANCO    </t>
  </si>
  <si>
    <t xml:space="preserve">CACHEPOT QUADRADO PEQUENO PRETO C GLITER         </t>
  </si>
  <si>
    <t xml:space="preserve">CACHEPOT QUADRADO PEQUENO ROSA C GLITER    </t>
  </si>
  <si>
    <t>CACHEPOT QUADRADO PEQUENO  VERDE FLUOR    </t>
  </si>
  <si>
    <t xml:space="preserve">CACHEPOT QUADRADO PEQUENO VERMELHO            </t>
  </si>
  <si>
    <t xml:space="preserve">CACHEPOT QUADRADO PEQUENO TRANSP. C GLITER    </t>
  </si>
  <si>
    <t xml:space="preserve">CACHEPOT QUADRADO PEQUENO VERMELHO C GLITER  </t>
  </si>
  <si>
    <t>CACHEPOT QUADRADO PEQUENO  AMARELO GEMA</t>
  </si>
  <si>
    <t xml:space="preserve">CACHEPOT OVAL  AMARELO                            </t>
  </si>
  <si>
    <t xml:space="preserve">CACHEPOT OVAL  BRANCO                             </t>
  </si>
  <si>
    <t xml:space="preserve">CACHEPOT OVAL  PRETO                              </t>
  </si>
  <si>
    <t xml:space="preserve">CACHEPOT OVAL  VERMELHO                           </t>
  </si>
  <si>
    <t>F2103</t>
  </si>
  <si>
    <t xml:space="preserve">CACHEPOT OVAL PINK                                </t>
  </si>
  <si>
    <t xml:space="preserve">CACHEPOT OVAL TRANSPARENTE                        </t>
  </si>
  <si>
    <t xml:space="preserve">CACHEPOT OVAL VERDE                               </t>
  </si>
  <si>
    <t>CACHEPOT TRIANGULAR  PRETO</t>
  </si>
  <si>
    <t>CACHEPOT TRIANGULAR  BRANCO </t>
  </si>
  <si>
    <t>CACHEPOT TRIANGULAR  AZUL</t>
  </si>
  <si>
    <t>CACHEPOT TRIANGULAR  VERMELHO</t>
  </si>
  <si>
    <t>CACHEPOT TRIANGULAR  AMARELO</t>
  </si>
  <si>
    <t>CACHEPOT TRIANGULAR  VERDE</t>
  </si>
  <si>
    <t>CACHEPOT TRIANGULAR  ROSA BEBE</t>
  </si>
  <si>
    <t>CACHEPOT TRIANGULAR  PINK</t>
  </si>
  <si>
    <t xml:space="preserve">CAIXA ACRILICA AZUL 8X8 </t>
  </si>
  <si>
    <t>CAIXA ACRILICA BRANCO  8X8</t>
  </si>
  <si>
    <t xml:space="preserve">CAIXA ACRILICA PRETO 8X8 </t>
  </si>
  <si>
    <t>F1081</t>
  </si>
  <si>
    <t>CAIXA ACRILICA TRANSPARENTE  8X8</t>
  </si>
  <si>
    <t xml:space="preserve">CAIXA ACRILICA VERMELHO  8X8    </t>
  </si>
  <si>
    <t>CAIXA ACRILICA ROSA TRANSP.  8X8</t>
  </si>
  <si>
    <t xml:space="preserve">CAIXA ACRILICA AZUL 5X5 </t>
  </si>
  <si>
    <t>CAIXA ACRILICA TRANSPARENTE  5X5</t>
  </si>
  <si>
    <t>CAIXA ACRILICA VERMELHO  5X5</t>
  </si>
  <si>
    <t xml:space="preserve">CAIXINHA TRIANGULAR BRANCO  </t>
  </si>
  <si>
    <t xml:space="preserve">COPO 250ML GOLD LILAS COM GLITER                  </t>
  </si>
  <si>
    <t>F1125</t>
  </si>
  <si>
    <t>COPO 300 ML SILVER  TRANSPARENTE</t>
  </si>
  <si>
    <t>F1126</t>
  </si>
  <si>
    <t>COPO 300 ML SILVER AZUL TRANSP.</t>
  </si>
  <si>
    <t>F1131</t>
  </si>
  <si>
    <t>COPO 300 ML SILVER VERMELHO TRANSP.</t>
  </si>
  <si>
    <t xml:space="preserve">MALETA BOLA DUPLA AZUL BRANCO            </t>
  </si>
  <si>
    <t>MAMADEIRA COM TAMPA BRANCA  </t>
  </si>
  <si>
    <t>F2080</t>
  </si>
  <si>
    <t>MALETA  BOLSINHA LILAS TRANSP.</t>
  </si>
  <si>
    <t>F2081</t>
  </si>
  <si>
    <t>MALETA  BOLSINHA ROSA TRANSP.</t>
  </si>
  <si>
    <t>F2082</t>
  </si>
  <si>
    <t>MALETA  BOLSINHA TRANSPARENTE</t>
  </si>
  <si>
    <t>F2083</t>
  </si>
  <si>
    <t>MALETA  BOLSINHA VERMELHA TRANSP.</t>
  </si>
  <si>
    <t>F2084</t>
  </si>
  <si>
    <t xml:space="preserve">MALETA  BOLSINHA AZUL TRANSP. </t>
  </si>
  <si>
    <t xml:space="preserve">MALETA MINI CARRINHO  AMARELO                     </t>
  </si>
  <si>
    <t xml:space="preserve">MALETA MINI CARRINHO  AZUL                        </t>
  </si>
  <si>
    <t xml:space="preserve">MALETA MINI CARRINHO  BRANCO                      </t>
  </si>
  <si>
    <t xml:space="preserve">MALETA MINI CARRINHO  TRANSPARENTE                </t>
  </si>
  <si>
    <t xml:space="preserve">MALETA MINI CARRINHO  VERDE                       </t>
  </si>
  <si>
    <t xml:space="preserve">MALETA MINI CARRINHO  VERMELHO                    </t>
  </si>
  <si>
    <t xml:space="preserve">MALETA MINI CARRINHO PRETO                        </t>
  </si>
  <si>
    <t>MINI CACHEPOT OVAL  PRETO</t>
  </si>
  <si>
    <t xml:space="preserve">MINI CACHEPOT OVAL  BRANCO  </t>
  </si>
  <si>
    <t xml:space="preserve">MINI CACHEPOT OVAL  AZUL   </t>
  </si>
  <si>
    <t>F2129</t>
  </si>
  <si>
    <t>MINI CACHEPOT OVAL AZUL ROYAL</t>
  </si>
  <si>
    <t xml:space="preserve">MINI CACHEPOT OVAL  VERMELHO   </t>
  </si>
  <si>
    <t>MINI CACHEPOT OVAL  AMARELO   </t>
  </si>
  <si>
    <t xml:space="preserve">MINI CACHEPOT OVAL  VERDE      </t>
  </si>
  <si>
    <t xml:space="preserve">MINI CACHEPOT OVAL  PINK   </t>
  </si>
  <si>
    <t xml:space="preserve">MINI CACHEPOT  OVAL  TRANSPARENTE   </t>
  </si>
  <si>
    <t xml:space="preserve">MINI CACHEPOT SEXTAVADO PRETO  </t>
  </si>
  <si>
    <t>MINI CACHEPOT SEXTAVADO BRANCO </t>
  </si>
  <si>
    <t>MINI CACHEPOT SEXTAVADO AMARELO </t>
  </si>
  <si>
    <t xml:space="preserve">MINI CACHEPOT SEXTAVADO VERMELHO  </t>
  </si>
  <si>
    <t xml:space="preserve">MINI CACHEPOT SEXTAVADO VERDE   </t>
  </si>
  <si>
    <t>MINI CACHEPOT SEXTAVADO PINK  </t>
  </si>
  <si>
    <t>MINI CACHEPOT SEXTAVADO AZUL ROYAL</t>
  </si>
  <si>
    <t xml:space="preserve">MINI MALETA BAU Vermelho Transparente </t>
  </si>
  <si>
    <t xml:space="preserve">MINI MALETA BAU Lilás Transparente </t>
  </si>
  <si>
    <t>MINI MALETA BAU Branco</t>
  </si>
  <si>
    <t>MINI MALETA BAU Rosa Transparente</t>
  </si>
  <si>
    <t xml:space="preserve">MINI MALETA BAU Azul Transparente </t>
  </si>
  <si>
    <t>MINI MALETA BAU Transparente</t>
  </si>
  <si>
    <t>MINI MALETA BAU Amarelo</t>
  </si>
  <si>
    <t xml:space="preserve">MINI MALETA BAU Preto </t>
  </si>
  <si>
    <t xml:space="preserve">POTE E TAMPA BRANCA                               </t>
  </si>
  <si>
    <t xml:space="preserve">POTE E TAMPA ROSA                                 </t>
  </si>
  <si>
    <t xml:space="preserve">POTE E TAMPA VERMELHO                             </t>
  </si>
  <si>
    <t xml:space="preserve">POTE E TAMPA AZUL BEBE                            </t>
  </si>
  <si>
    <t xml:space="preserve">POTE E TAMPA VERDE                                </t>
  </si>
  <si>
    <t xml:space="preserve">POTE E TAMPA PRETA                                </t>
  </si>
  <si>
    <t xml:space="preserve">POTE E TAMPA AMARELA                              </t>
  </si>
  <si>
    <t xml:space="preserve">POTE E TAMPA TRANSPARENTE                         </t>
  </si>
  <si>
    <t>TUBETE 10,5 cm AZUL</t>
  </si>
  <si>
    <t>TUBETE 10,5 cm AMARELO</t>
  </si>
  <si>
    <t>TUBETE 10,5 cm LILAS</t>
  </si>
  <si>
    <t xml:space="preserve">TUBETE 10,5 cm ROSA </t>
  </si>
  <si>
    <t xml:space="preserve">TUBETE 10,5 cm TRANSPARENTE </t>
  </si>
  <si>
    <t xml:space="preserve">TUBETE 10,5 cm VERDE </t>
  </si>
  <si>
    <t xml:space="preserve">TUBETE 10,5 cm VERMELHO </t>
  </si>
  <si>
    <t>TUBETE 10,5 cm DOURADO</t>
  </si>
  <si>
    <t>TUBETE COROA AZUL TRANSPARENTE</t>
  </si>
  <si>
    <t>TUBETE COROA TRANSPARENTE</t>
  </si>
  <si>
    <t>TUBETE COROA DOURADO</t>
  </si>
  <si>
    <t>TUBETE COROA BRANCO</t>
  </si>
  <si>
    <t>POTE/TAMPA COROA DOURADO</t>
  </si>
  <si>
    <t>POTE/TAMPA COROA BRANCA</t>
  </si>
  <si>
    <t>COFRINHO PINK</t>
  </si>
  <si>
    <t>COFRINHO PRETO</t>
  </si>
  <si>
    <t>COFRINHO DOURADO</t>
  </si>
  <si>
    <t>F2104</t>
  </si>
  <si>
    <t>F2174</t>
  </si>
  <si>
    <t>F2179</t>
  </si>
  <si>
    <t>CAIXINHA CORAÇÃO VERMELHO TRANSPARENTE</t>
  </si>
  <si>
    <t>CAIXINHA ACRILICA 4x4 AZUL TRANSPARENTE</t>
  </si>
  <si>
    <t>CAIXINHA ACRILICA 4x4 ROSA TRANSPARENTE</t>
  </si>
  <si>
    <t>CAIXINHA ACRILICA 4x4 TRANSPARENTE</t>
  </si>
  <si>
    <t>CAIXINHA REDONDA AZUL TRANSPARENTE</t>
  </si>
  <si>
    <t>CAIXINHA REDONDA TRANSPARENTE</t>
  </si>
  <si>
    <t>120 PÇS CX</t>
  </si>
  <si>
    <t>80 PÇS CX</t>
  </si>
  <si>
    <t>56 PÇS CX</t>
  </si>
  <si>
    <t>230 PÇS CX</t>
  </si>
  <si>
    <t>72 PÇS CX</t>
  </si>
  <si>
    <t>300 PÇS (30 PCT DEZ)</t>
  </si>
  <si>
    <t>170 PÇS (17 PCT DEZ)</t>
  </si>
  <si>
    <t>45 PÇS CX</t>
  </si>
  <si>
    <t>CAIXA RETANGULAR M. VERDE TRANSPARENTE</t>
  </si>
  <si>
    <t xml:space="preserve">COPO 250ML GOLD NATURAL COM GLITER        </t>
  </si>
  <si>
    <t xml:space="preserve">CACHEPOT QUADRADO GRANDE AZUL ROYAL               </t>
  </si>
  <si>
    <t>CACHEPOT RETANGULAR M AZUL ROYAL</t>
  </si>
  <si>
    <t>CACHEPOT RETANGULAR G AZUL ROYAL</t>
  </si>
  <si>
    <t>CACHEPOT QUADRADO PEQUENO  AZUL ROYAL</t>
  </si>
  <si>
    <t xml:space="preserve">CACHEPOT OVAL ROSA BABY                          </t>
  </si>
  <si>
    <t>60 PÇS CX</t>
  </si>
  <si>
    <t>48 PÇS CX</t>
  </si>
  <si>
    <t>200 PÇX CX (20 PCT DEZ)</t>
  </si>
  <si>
    <t>190 PÇS CX (19 PCT DEZ)</t>
  </si>
  <si>
    <t>90 PÇS CX</t>
  </si>
  <si>
    <t>140 PÇS CX (14 PCT DEZ)</t>
  </si>
  <si>
    <t>216 PÇS CX</t>
  </si>
  <si>
    <t>250 PÇS CX (25 PCT DEZ)</t>
  </si>
  <si>
    <t>78 PÇS CX</t>
  </si>
  <si>
    <t xml:space="preserve">120 PÇS CX (12 PCT DEZ) </t>
  </si>
  <si>
    <t xml:space="preserve">250 PÇS CX (25 PCT DEZ) </t>
  </si>
  <si>
    <t xml:space="preserve">170 PÇS CX (17 PCT DEZ) </t>
  </si>
  <si>
    <t>CAIXNHA ACRILICA 4X4 VERMELHO TRANSPARENTE</t>
  </si>
  <si>
    <t>300 PCS CX (30PCT DEZ)</t>
  </si>
  <si>
    <t>F2183</t>
  </si>
  <si>
    <t>CAIXA RETANGULAR M. AZUL ROYAL</t>
  </si>
  <si>
    <t>F2128</t>
  </si>
  <si>
    <t>CACHEPOT TRIANGULAR  AZUL ROYAL</t>
  </si>
  <si>
    <t>F2229</t>
  </si>
  <si>
    <t>CAIXINHA FLIP TOP 5X4 ROSA TRANSPARENTE</t>
  </si>
  <si>
    <t>F2230</t>
  </si>
  <si>
    <t>CAIXINHA FLIP TOP 5X4 AZUL TRANSPARENTE</t>
  </si>
  <si>
    <t>F2231</t>
  </si>
  <si>
    <t>CAIXINHA FLIP TOP 5X4 VERMELHO TRANSPARENTE</t>
  </si>
  <si>
    <t>F2233</t>
  </si>
  <si>
    <t>CAIXINHA FLIP TOP 5X4 VERDE TRANSPARENTE</t>
  </si>
  <si>
    <t>F2234</t>
  </si>
  <si>
    <t>CAIXINHA FLIP TOP 5X4 TRANSPARENTE</t>
  </si>
  <si>
    <t>F2225</t>
  </si>
  <si>
    <t>CAIXA DIVISORIA M ROSA TRANSPARENTE</t>
  </si>
  <si>
    <t>F2226</t>
  </si>
  <si>
    <t>CAIXA DIVISORIA M AZUL TRANSPARENTE</t>
  </si>
  <si>
    <t>F2227</t>
  </si>
  <si>
    <t>CAIXA DIVISORIA M VERMELHO TRANSPARENTE</t>
  </si>
  <si>
    <t>F2228</t>
  </si>
  <si>
    <t>CAIXA DIVISORIA M  TRANSPARENTE</t>
  </si>
  <si>
    <t>200 PÇS CX ( 20 PCT DEZ)</t>
  </si>
  <si>
    <t>63 PÇS CX</t>
  </si>
  <si>
    <t>F2131</t>
  </si>
  <si>
    <t xml:space="preserve">CACHEPOT SEXTAVADO PEQUENO AZUL ROYAL                            </t>
  </si>
  <si>
    <t>F2120</t>
  </si>
  <si>
    <t xml:space="preserve">CACHEPOT OVAL AZUL ROYAL                               </t>
  </si>
  <si>
    <t xml:space="preserve">MINI COFRINHO AMARELO                             </t>
  </si>
  <si>
    <t xml:space="preserve">MINI COFRINHO AZUL ROYAL                          </t>
  </si>
  <si>
    <t xml:space="preserve">MINI COFRINHO BRANCO                              </t>
  </si>
  <si>
    <t xml:space="preserve">MINI COFRINHO DOURADO                             </t>
  </si>
  <si>
    <t xml:space="preserve">MINI COFRINHO PINK                                </t>
  </si>
  <si>
    <t xml:space="preserve">MINI COFRINHO PRETO                               </t>
  </si>
  <si>
    <t xml:space="preserve">MINI COFRINHO TRANSPARENTE                        </t>
  </si>
  <si>
    <t xml:space="preserve">MINI COFRINHO VERDE BANDEIRA                      </t>
  </si>
  <si>
    <t xml:space="preserve">MINI COFRINHO VERMELHO                            </t>
  </si>
  <si>
    <t>F2242</t>
  </si>
  <si>
    <t>F2236</t>
  </si>
  <si>
    <t>F2248</t>
  </si>
  <si>
    <t>F2237</t>
  </si>
  <si>
    <t>F2238</t>
  </si>
  <si>
    <t>F2239</t>
  </si>
  <si>
    <t>F2240</t>
  </si>
  <si>
    <t>F2241</t>
  </si>
  <si>
    <t>F2243</t>
  </si>
  <si>
    <t>F2244</t>
  </si>
  <si>
    <t>F2245</t>
  </si>
  <si>
    <t>F2246</t>
  </si>
  <si>
    <t>108 PCS CX</t>
  </si>
  <si>
    <t>CAIXINHA REDONDA FLIP TOP AZUL ROYAL</t>
  </si>
  <si>
    <t>F2258</t>
  </si>
  <si>
    <t>F2259</t>
  </si>
  <si>
    <t>F2260</t>
  </si>
  <si>
    <t>F2261</t>
  </si>
  <si>
    <t>F2262</t>
  </si>
  <si>
    <t>F2263</t>
  </si>
  <si>
    <t>F2264</t>
  </si>
  <si>
    <t>CAIXINHA REDONDA FLIP TOP BRANCO</t>
  </si>
  <si>
    <t>CAIXINHA REDONDA FLIP TOP AMARELO</t>
  </si>
  <si>
    <t>CAIXINHA REDONDA FLIP TOP VERMELHO</t>
  </si>
  <si>
    <t>CAIXINHA REDONDA FLIP TO PRETO</t>
  </si>
  <si>
    <t>CAIXINHA REDONDA FLIP TOP TRANSPARENTE</t>
  </si>
  <si>
    <t>F2257</t>
  </si>
  <si>
    <t>F2265</t>
  </si>
  <si>
    <t>F2266</t>
  </si>
  <si>
    <t>F2267</t>
  </si>
  <si>
    <t>F2268</t>
  </si>
  <si>
    <t>F2269</t>
  </si>
  <si>
    <t>F2270</t>
  </si>
  <si>
    <t>F2271</t>
  </si>
  <si>
    <t>F2272</t>
  </si>
  <si>
    <t>F2273</t>
  </si>
  <si>
    <t>CAIXINHA QUADRADA FLIP TOP AZUL ROYAL</t>
  </si>
  <si>
    <t>CAIXINHA QUADRADA FLIP TOP BRANCA</t>
  </si>
  <si>
    <t>CAIXINHA QUADRADA FLIP TOP AMARELO</t>
  </si>
  <si>
    <t>CAIXINHA QUADRADA FLIP TOP VERMELHO</t>
  </si>
  <si>
    <t>CAIXINHA QUADRADA FLIP TOP PRETO</t>
  </si>
  <si>
    <t>CAIXINHA QUADRADA FLIP TOP TRANSPARENTE</t>
  </si>
  <si>
    <t>F2274</t>
  </si>
  <si>
    <t>BOWL AMARELO</t>
  </si>
  <si>
    <t>F2275</t>
  </si>
  <si>
    <t>F2276</t>
  </si>
  <si>
    <t>F2277</t>
  </si>
  <si>
    <t>F2278</t>
  </si>
  <si>
    <t>F2279</t>
  </si>
  <si>
    <t>F2280</t>
  </si>
  <si>
    <t>BOWL AZUL</t>
  </si>
  <si>
    <t>BOWL PRETO</t>
  </si>
  <si>
    <t>BOWL TRANSPARENTE</t>
  </si>
  <si>
    <t>BOWL ROSA NEON</t>
  </si>
  <si>
    <t>BOWL VERDE NEON</t>
  </si>
  <si>
    <t>BOWL VERMELHO</t>
  </si>
  <si>
    <t>F2281</t>
  </si>
  <si>
    <t>CONJ.MINI PANELINHA/MINI CAÇAROLA AZUL</t>
  </si>
  <si>
    <t>F2282</t>
  </si>
  <si>
    <t>CONJ.MINI PANELINHA/MINI CAÇAROLA BRANCA</t>
  </si>
  <si>
    <t>F2283</t>
  </si>
  <si>
    <t>CONJ.MINI PANELINHA/MINICAÇAROLA ROSA TRANSPARENTE</t>
  </si>
  <si>
    <t>F2284</t>
  </si>
  <si>
    <t>CONJ.MINI PANELINHA/MINI CAÇAROLA TRANSPARENTE</t>
  </si>
  <si>
    <t>F2285</t>
  </si>
  <si>
    <t>CONJ.MINI PANELINHA/MINI CAÇAROLA VERMELHO TRANSPARENTE</t>
  </si>
  <si>
    <t>160 PÇS ( 16 PCT DEZ )</t>
  </si>
  <si>
    <t>50 PÇS CX</t>
  </si>
  <si>
    <t>50PÇS CX</t>
  </si>
  <si>
    <t>F2286</t>
  </si>
  <si>
    <t>F2287</t>
  </si>
  <si>
    <t>CAIXINHA 5/3 C/ BORDA ONDULADA AZUL TRANSPARENTE</t>
  </si>
  <si>
    <t>F2288</t>
  </si>
  <si>
    <t>CAIXINHA 5/3 C/ BORDA ONDULADA TRANSPARENTE</t>
  </si>
  <si>
    <t>F2289</t>
  </si>
  <si>
    <t>CAIXINHA 5/3 C/ BORDA ONDULADA ROSA TRANSPARENTE</t>
  </si>
  <si>
    <t>F2290</t>
  </si>
  <si>
    <t>CAIXINHA 5/3 C/ BORDA ONDULADO OURO</t>
  </si>
  <si>
    <t>F2291</t>
  </si>
  <si>
    <t>CAIXINHA 5/3 C/ BORDA ONDULADA PRATA</t>
  </si>
  <si>
    <t>270 PÇS ( 27 PCT DEZ )</t>
  </si>
  <si>
    <t>F2292</t>
  </si>
  <si>
    <t>MAÇA DO AMOR VERMELHO TRANSPARENTE</t>
  </si>
  <si>
    <t>120 PÇS ( 12 PCT DEZ )</t>
  </si>
  <si>
    <t>F2294</t>
  </si>
  <si>
    <t>MAÇA DO AMOR TRANSPARENTE</t>
  </si>
  <si>
    <t>F2295</t>
  </si>
  <si>
    <t>F2296</t>
  </si>
  <si>
    <t>F2297</t>
  </si>
  <si>
    <t>F2298</t>
  </si>
  <si>
    <t>F2299</t>
  </si>
  <si>
    <t>F2300</t>
  </si>
  <si>
    <t>F2301</t>
  </si>
  <si>
    <t>F2303</t>
  </si>
  <si>
    <t>F2304</t>
  </si>
  <si>
    <t>BALDE DE PIPOCA AZUL ROYAL</t>
  </si>
  <si>
    <t>BALDE DE PIPOCA BRANCO</t>
  </si>
  <si>
    <t>BALDE DE PIPOCA AMARELO</t>
  </si>
  <si>
    <t>BALDE DE PIPOCA VERMELHO</t>
  </si>
  <si>
    <t>BALDE DE PIPOCA VERDE BANDEIRA</t>
  </si>
  <si>
    <t>BALDE DE PIPOCA PINK</t>
  </si>
  <si>
    <t>BALDE DE PIPOCA PRETO</t>
  </si>
  <si>
    <t>96 PÇS  CX</t>
  </si>
  <si>
    <t>F2305</t>
  </si>
  <si>
    <t>BALDE DE PIPOCA TRANSPARENTE</t>
  </si>
  <si>
    <t>J</t>
  </si>
  <si>
    <t xml:space="preserve">LATINHA AZUL ROYAL (PCT 10 PEÇAS) </t>
  </si>
  <si>
    <t>F2306</t>
  </si>
  <si>
    <t>F2307</t>
  </si>
  <si>
    <t>F2308</t>
  </si>
  <si>
    <t>LATINHA AZUL BIC (PCT 10 PEÇAS)  </t>
  </si>
  <si>
    <t>F2309</t>
  </si>
  <si>
    <t>F2310</t>
  </si>
  <si>
    <t>LATINHA BRANCA(PCT 10 PEÇAS)</t>
  </si>
  <si>
    <t>F2311</t>
  </si>
  <si>
    <t xml:space="preserve">LATINHA AMARELO  (PCT 10 PEÇAS)  </t>
  </si>
  <si>
    <t>F2312</t>
  </si>
  <si>
    <t>LATINHA VERMELHO (PCT 10 PEÇAS)</t>
  </si>
  <si>
    <t>F2314</t>
  </si>
  <si>
    <t>LATINHA TRANSPARENTE (PCT 10 PEÇAS)</t>
  </si>
  <si>
    <t>F2315</t>
  </si>
  <si>
    <t>LATINHA PINK   (PCT 10 PEÇAS)</t>
  </si>
  <si>
    <t>F2316</t>
  </si>
  <si>
    <t xml:space="preserve">LATINHA PRETO   (PCT 10 PEÇAS) </t>
  </si>
  <si>
    <t>F2317</t>
  </si>
  <si>
    <t xml:space="preserve">LATINHA LILÁS  (PCT 10 PEÇAS) </t>
  </si>
  <si>
    <t xml:space="preserve">LATINHA VERDE KIWI.  (PCT 10 PEÇAS) </t>
  </si>
  <si>
    <t>F2318</t>
  </si>
  <si>
    <t>F2319</t>
  </si>
  <si>
    <t>F2320</t>
  </si>
  <si>
    <t>F2321</t>
  </si>
  <si>
    <t>F2322</t>
  </si>
  <si>
    <t>F2323</t>
  </si>
  <si>
    <t>F2324</t>
  </si>
  <si>
    <t>F2325</t>
  </si>
  <si>
    <t>F2326</t>
  </si>
  <si>
    <t>F2328</t>
  </si>
  <si>
    <t>F2329</t>
  </si>
  <si>
    <t>F2330</t>
  </si>
  <si>
    <t>F2331</t>
  </si>
  <si>
    <t>MINI COFRINHO LATA AZUL ROYAL</t>
  </si>
  <si>
    <t>MINI COFRINHO LATA BRANCO</t>
  </si>
  <si>
    <t>MINI COFRINHO LATA VERMELHO</t>
  </si>
  <si>
    <t>MINI COFRINHO LATA AMARELO</t>
  </si>
  <si>
    <t>MINI COFRINHO LATA DOURADO</t>
  </si>
  <si>
    <t>MINI COFRINHO LATA VERDE BANDEIRA</t>
  </si>
  <si>
    <t>MINI COFRINHO LATA TRANSPARENTE</t>
  </si>
  <si>
    <t>MINI COFRINHO LATA PINK</t>
  </si>
  <si>
    <t>MINI COFRINHO LATA PRETO</t>
  </si>
  <si>
    <t>F2332</t>
  </si>
  <si>
    <t xml:space="preserve">CAIXA DIVISÓRIA M AMARELO </t>
  </si>
  <si>
    <t>F2333</t>
  </si>
  <si>
    <t>CAIXA DIVISÓRIA M PRETO</t>
  </si>
  <si>
    <t>F2334</t>
  </si>
  <si>
    <t>F2335</t>
  </si>
  <si>
    <t>CAIXA DIVISÓRIA M AZUL ROYAL</t>
  </si>
  <si>
    <t>F2347</t>
  </si>
  <si>
    <t>COFRINHO QUADRADO AMARELO GEMA</t>
  </si>
  <si>
    <t>F2348</t>
  </si>
  <si>
    <t>COFRINHO QUADRADO VERDE BANDEIRA</t>
  </si>
  <si>
    <t>F2349</t>
  </si>
  <si>
    <t>COFRINHO QUADRADO BRANCO</t>
  </si>
  <si>
    <t>F2350</t>
  </si>
  <si>
    <t>COFRINHO QUADRADO PRETO</t>
  </si>
  <si>
    <t>F2351</t>
  </si>
  <si>
    <t>F2352</t>
  </si>
  <si>
    <t>F2353</t>
  </si>
  <si>
    <t>COFRINHO QUADRADO VERMELHO</t>
  </si>
  <si>
    <t>F2339</t>
  </si>
  <si>
    <t>MARMITINHA P AMARELO GEMA</t>
  </si>
  <si>
    <t>F2340</t>
  </si>
  <si>
    <t>MARMITINHA P BRANCO</t>
  </si>
  <si>
    <t>F2341</t>
  </si>
  <si>
    <t>MARMITINHA P VERMELHO</t>
  </si>
  <si>
    <t>MARMITINHA P PRETO</t>
  </si>
  <si>
    <t>F2342</t>
  </si>
  <si>
    <t>F2343</t>
  </si>
  <si>
    <t>MARMITINHA P AZUL ROYAL</t>
  </si>
  <si>
    <t>F2344</t>
  </si>
  <si>
    <t>MARMITINHA P AZUL TRANSPARENTE</t>
  </si>
  <si>
    <t>F2345</t>
  </si>
  <si>
    <t>MARMITINHA P ROSA TRANSPARENTE</t>
  </si>
  <si>
    <t>F2346</t>
  </si>
  <si>
    <t>MARMITINHA P TRANSPARENTE</t>
  </si>
  <si>
    <t>105 PEÇAS POR CX</t>
  </si>
  <si>
    <t>62 PEÇAS POR CX</t>
  </si>
  <si>
    <t>F2354</t>
  </si>
  <si>
    <t>ESTOJINHO ROSA TRANSPARENTE</t>
  </si>
  <si>
    <t>150 PEÇAS ( 15 PCT DEZ )</t>
  </si>
  <si>
    <t>F2355</t>
  </si>
  <si>
    <t>ESTOJINHO AZUL TRANSPARENTE</t>
  </si>
  <si>
    <t>F2356</t>
  </si>
  <si>
    <t>ESTOJINHO VERMELHO TRANSPARENTE</t>
  </si>
  <si>
    <t>F2357</t>
  </si>
  <si>
    <t>ESTOJINHO TRANSPARENTE</t>
  </si>
  <si>
    <t>F2364</t>
  </si>
  <si>
    <t>BOWL PROVENÇAL AMARELO</t>
  </si>
  <si>
    <t>F2365</t>
  </si>
  <si>
    <t>BOWL PROVENÇAL  AZUL</t>
  </si>
  <si>
    <t>F2366</t>
  </si>
  <si>
    <t>BOWL PROVENCAL BRANCO</t>
  </si>
  <si>
    <t>F2367</t>
  </si>
  <si>
    <t>BOWL PROVENÇAL DOURADO</t>
  </si>
  <si>
    <t>F2368</t>
  </si>
  <si>
    <t>BOWL PROVENCAL LARANJA NEON</t>
  </si>
  <si>
    <t>F2369</t>
  </si>
  <si>
    <t>BOWL PROVENCAL PRATA</t>
  </si>
  <si>
    <t>F2370</t>
  </si>
  <si>
    <t>BOWL PROVENCAL PRETO</t>
  </si>
  <si>
    <t>F2371</t>
  </si>
  <si>
    <t>F2372</t>
  </si>
  <si>
    <t>BOWL PROVENCAL TRANSPARENTE</t>
  </si>
  <si>
    <t>F2373</t>
  </si>
  <si>
    <t>F2374</t>
  </si>
  <si>
    <t>BOWL PROVENÇAL VERMELHO</t>
  </si>
  <si>
    <t>30 PEÇAS POR CX</t>
  </si>
  <si>
    <t>BOWL PROVENCAL ROSA NEON</t>
  </si>
  <si>
    <t>F2358</t>
  </si>
  <si>
    <t>CAIXINHA REDONDA ONDULADA VERMELHO TRANSP.</t>
  </si>
  <si>
    <t>270 PEÇAS (27 DEZENAS)</t>
  </si>
  <si>
    <t>F2359</t>
  </si>
  <si>
    <t>CAIXINHA REDONDA ONDULADA AZUL TRANSP.</t>
  </si>
  <si>
    <t>F2360</t>
  </si>
  <si>
    <t>CAIXINHA REDONDA ONDULADA ROSA TRANSP.</t>
  </si>
  <si>
    <t>F2361</t>
  </si>
  <si>
    <t>CAIXINHA REDONDA ONDULADA DOURADA TRANSP.</t>
  </si>
  <si>
    <t>F2362</t>
  </si>
  <si>
    <t>CAIXINHA REDONDA ONDULADA PRATA TRANSP.</t>
  </si>
  <si>
    <t>F2363</t>
  </si>
  <si>
    <t>CAIXINHA REDONDA ONDULADA TRANSP.</t>
  </si>
  <si>
    <t>F2375</t>
  </si>
  <si>
    <t>F2376</t>
  </si>
  <si>
    <t>MAÇA C/ FOLHA VERMELHA TRANSPARENTE</t>
  </si>
  <si>
    <t>MAÇA C/ FOLHA TRANSPARENTE</t>
  </si>
  <si>
    <t>F2377</t>
  </si>
  <si>
    <t>CACHEPOT C/ BORDA ONDULADA PEQUENO AZUL ROYAL</t>
  </si>
  <si>
    <t>F2378</t>
  </si>
  <si>
    <t>F2379</t>
  </si>
  <si>
    <t>CACHEPOT C/ BORDA ONDULADA PEQUENO BRANCO</t>
  </si>
  <si>
    <t>F2380</t>
  </si>
  <si>
    <t>CACHEPOT C/ BORDA ONDULADA PEQUENO VERMELHO</t>
  </si>
  <si>
    <t>F2381</t>
  </si>
  <si>
    <t>CACHEPOT C/ BORDA ONDULADA PEQUENO TRANSPARENTE</t>
  </si>
  <si>
    <t>F2382</t>
  </si>
  <si>
    <t>CACHEPOT C/ BORDA ONDULADA PEQUENO PRETO</t>
  </si>
  <si>
    <t>F2383</t>
  </si>
  <si>
    <t>CACHEPOT C/ BORDA ONDULADA PEQUENO VERDE KIWI</t>
  </si>
  <si>
    <t>F2384</t>
  </si>
  <si>
    <t>CACHEPOT C/ BORDA ONDULADA PEQUENO AMARELO</t>
  </si>
  <si>
    <t>120 pçs por cx</t>
  </si>
  <si>
    <t>CAIXA DIVISORIA ACRILICA M AZUL</t>
  </si>
  <si>
    <t>CAIXA DIVISORIA ACRLICA M VERMELHO</t>
  </si>
  <si>
    <t>F2386</t>
  </si>
  <si>
    <t>F2387</t>
  </si>
  <si>
    <t>F2388</t>
  </si>
  <si>
    <t>F2389</t>
  </si>
  <si>
    <t>F2390</t>
  </si>
  <si>
    <t>CAIXA DIVISÓRIA ACRILICA 7X7 ROSA TRANSPARENTE</t>
  </si>
  <si>
    <t>F2391</t>
  </si>
  <si>
    <t>CAIXA DIVISÓRIA ACRILICA 7X7 AZUL TRANSPARENTE</t>
  </si>
  <si>
    <t>F2392</t>
  </si>
  <si>
    <t>CAIXA DIVISÓRIA ACRILICA 7X7 VERMELHO</t>
  </si>
  <si>
    <t>F2393</t>
  </si>
  <si>
    <t>CAIXA DIVISÓRIA ACRILICA 7X7 TRANSPARENTE</t>
  </si>
  <si>
    <t>F2394</t>
  </si>
  <si>
    <t>CAIXA DIVISÓRIA ACRILICA 7X7 OURO</t>
  </si>
  <si>
    <t>F2395</t>
  </si>
  <si>
    <t>CAIXA DIVISÓRIA ACRILICA 7X7 BRANCO</t>
  </si>
  <si>
    <t>F2396</t>
  </si>
  <si>
    <t>CAIXA DIVISÓRIA ACRILICA 7X7 PRETO</t>
  </si>
  <si>
    <t>F2397</t>
  </si>
  <si>
    <t>CAIXA DIVISÓRIA ACRILICA 7X7 AMARELO</t>
  </si>
  <si>
    <t>48 PÇS POR CAIXA</t>
  </si>
  <si>
    <t>F2385</t>
  </si>
  <si>
    <t>CAIXA DIVISÓRIA M VERDE KIWI</t>
  </si>
  <si>
    <t>F2398</t>
  </si>
  <si>
    <t>CACHEPOT FLOR AMARELO GEMA</t>
  </si>
  <si>
    <t>F2399</t>
  </si>
  <si>
    <t>F2400</t>
  </si>
  <si>
    <t>CACHEPOT FLOR AZUL ROYAL</t>
  </si>
  <si>
    <t>F2401</t>
  </si>
  <si>
    <t>CACHEPOT FLOR BRANCO</t>
  </si>
  <si>
    <t>F2402</t>
  </si>
  <si>
    <t>CACHEPOT FLOR PRETO</t>
  </si>
  <si>
    <t>F2403</t>
  </si>
  <si>
    <t>F2404</t>
  </si>
  <si>
    <t>CACHEPOT FLOR TRANSPARENTE</t>
  </si>
  <si>
    <t>F2405</t>
  </si>
  <si>
    <t>CACHEPOT FLOR VERDE KIWI</t>
  </si>
  <si>
    <t>F2406</t>
  </si>
  <si>
    <t>CACHEPOT FLOR VERMELHO</t>
  </si>
  <si>
    <t>120 PÇS POR CAIXA</t>
  </si>
  <si>
    <t>160 PÇS POR CAIXA (16 DEZENAS)</t>
  </si>
  <si>
    <t>F2411</t>
  </si>
  <si>
    <t>F2412</t>
  </si>
  <si>
    <t>F2413</t>
  </si>
  <si>
    <t>F2414</t>
  </si>
  <si>
    <t>F2415</t>
  </si>
  <si>
    <t>F2416</t>
  </si>
  <si>
    <t>F2417</t>
  </si>
  <si>
    <t>CAIXINHA CAMISA AMARELO</t>
  </si>
  <si>
    <t>CAIXINHA CAMISA AZUL</t>
  </si>
  <si>
    <t>CAIXINHA CAMISA BRANCO</t>
  </si>
  <si>
    <t>CAIXINHA CAMISA PRETO</t>
  </si>
  <si>
    <t xml:space="preserve">CAIXINHA CAMISA TRANSPARENTE </t>
  </si>
  <si>
    <t>CAIXINHA CAMISA VERDE</t>
  </si>
  <si>
    <t>CAIXINHA CAMISA VERMELHO</t>
  </si>
  <si>
    <t>Qntd.</t>
  </si>
  <si>
    <t>Descrisão do Produto</t>
  </si>
  <si>
    <t>F2408</t>
  </si>
  <si>
    <t xml:space="preserve">MALETA BOLA DOURADO                         </t>
  </si>
  <si>
    <t>MALETA BOLA DUPLA DOURADO E PRETO</t>
  </si>
  <si>
    <t>MALETA BOLA DUPLA DOURADO E BRANCO</t>
  </si>
  <si>
    <t>F2410</t>
  </si>
  <si>
    <t>F2409</t>
  </si>
  <si>
    <t xml:space="preserve">MALETA BOLA ROSA BEBÊ                       </t>
  </si>
  <si>
    <t>F2418</t>
  </si>
  <si>
    <t>F2430</t>
  </si>
  <si>
    <t>F2431</t>
  </si>
  <si>
    <t>F2432</t>
  </si>
  <si>
    <t>F2433</t>
  </si>
  <si>
    <t>F2434</t>
  </si>
  <si>
    <t>F2435</t>
  </si>
  <si>
    <t>F2436</t>
  </si>
  <si>
    <t>F2437</t>
  </si>
  <si>
    <t>F2438</t>
  </si>
  <si>
    <t>F2439</t>
  </si>
  <si>
    <t>BALDE PIPOCA AZUL ROYAL COM TAMPA</t>
  </si>
  <si>
    <t>BALDE PIPOCA BRANCO COM TAMPA</t>
  </si>
  <si>
    <t>BALDE PIPOCA AMARELO COM TAMPA</t>
  </si>
  <si>
    <t>BALDE PIPOCA VERMELHO COM TAMPA</t>
  </si>
  <si>
    <t>BALDE PIPOCA VERDE BANDEIRA COM TAMPA</t>
  </si>
  <si>
    <t>BALDE PIPOCA TAMPA PINK COM TAMPA</t>
  </si>
  <si>
    <t>BALDE PIPOCA PRETO COM TAMPA</t>
  </si>
  <si>
    <t>BALDE PIPOCA TRANSPARENTE COM TAMPA</t>
  </si>
  <si>
    <t>140 PÇS POR CAIXA ( 14 DEZENAS )</t>
  </si>
  <si>
    <t>MINI MALETINHA BRANCO</t>
  </si>
  <si>
    <t>F2447</t>
  </si>
  <si>
    <t>F2448</t>
  </si>
  <si>
    <t>F2449</t>
  </si>
  <si>
    <t>MINI MALETINHA DOURADO</t>
  </si>
  <si>
    <t>F2450</t>
  </si>
  <si>
    <t>MINI MALETINHA PRETO</t>
  </si>
  <si>
    <t>F2452</t>
  </si>
  <si>
    <t>MINI MALETINHA VERMELHO</t>
  </si>
  <si>
    <t>F2453</t>
  </si>
  <si>
    <t>MINI MALETINHA TRANSPARENTE</t>
  </si>
  <si>
    <t>F2455</t>
  </si>
  <si>
    <t>MINI MALETINHA AMARELO</t>
  </si>
  <si>
    <t>F2451</t>
  </si>
  <si>
    <t>F2454</t>
  </si>
  <si>
    <t>F2440</t>
  </si>
  <si>
    <t>F2441</t>
  </si>
  <si>
    <t>MINI MALETINHA ROSA BEBÊ</t>
  </si>
  <si>
    <t>BALDE PIPOCA AZUL BEBÊ COM TAMPA</t>
  </si>
  <si>
    <t>BALDE PIPOCA ROSA BEBÊ COM TAMPA</t>
  </si>
  <si>
    <t>CACHEPOT FLOR ROSA BEBÊ</t>
  </si>
  <si>
    <t>CACHEPOT FLOR AZUL BEBÊ</t>
  </si>
  <si>
    <t>CAIXA SEM DIVISÓRIA ACRILICA AZUL BEBÊ</t>
  </si>
  <si>
    <t>CAIXA SEM DIVISÓRIA ACRILICA BRANCO</t>
  </si>
  <si>
    <t>MINI MALETINHA AZUL BEBÊ</t>
  </si>
  <si>
    <t>CAIXA DIVISÓRIA ACRILICA M ROSA</t>
  </si>
  <si>
    <t>CAIXA DIVISORIA ACRILICA M TRANSPARENTE</t>
  </si>
  <si>
    <t>CACHEPOT C/ BORDA ONDULADA PEQUENO AZUL BEBÊ</t>
  </si>
  <si>
    <t>CACHEPOT C/ BORDA ONDULADA PEQUENO ROSA BEBÊ</t>
  </si>
  <si>
    <t>COFRINHO QUADRADO AZUL BEBÊ</t>
  </si>
  <si>
    <t>COFRINHO QUADRADO ROSA BEBÊ</t>
  </si>
  <si>
    <t>MINI COFRINHO LATA LILÁS</t>
  </si>
  <si>
    <t>MINI COFRINHO LATA ROSA BEBÊ</t>
  </si>
  <si>
    <t>BALDE DE PIPOCA AZUL BEBÊ</t>
  </si>
  <si>
    <t>BALDE DE PIPOCA ROSA BEBÊ</t>
  </si>
  <si>
    <t>TUBETE COROA AZUL BEBÊ</t>
  </si>
  <si>
    <t>TUBETE COROA ROSA BEBÊ</t>
  </si>
  <si>
    <t>POTE/TAMPA COROA ROSA BEBÊ</t>
  </si>
  <si>
    <t>POTE/TAMPA COROA AZUL BEBÊ</t>
  </si>
  <si>
    <t xml:space="preserve">MINI COFRINHO LILÁS                               </t>
  </si>
  <si>
    <t xml:space="preserve">MINI COFRINHO ROSA BEBÊ                        </t>
  </si>
  <si>
    <t xml:space="preserve">MINI COFRINHO AZUL BEBÊ                       </t>
  </si>
  <si>
    <t>MINI CACHEPOT SEXTAVADO ROSA BEBÊ</t>
  </si>
  <si>
    <t>MINI CACHEPOT SEXTAVADO AZUL BÊBE</t>
  </si>
  <si>
    <t xml:space="preserve">MINI CACHEPOT OVAL  ROSA BEBÊ   </t>
  </si>
  <si>
    <t>MAMADEIRA COM TAMPA AZUL BEBÊ</t>
  </si>
  <si>
    <t>MAMADEIRA COM TAMPA ROSA  BEBÊ</t>
  </si>
  <si>
    <t xml:space="preserve">MALETA BAU AZUL BEBÊ /ALÇA </t>
  </si>
  <si>
    <t>MALETA BAU ROSA BEBÊ/ALÇA</t>
  </si>
  <si>
    <t>LATINHA AZUL BEBÊ (PCT 10 PEÇAS)</t>
  </si>
  <si>
    <t xml:space="preserve">LATINHA ROSA BEBÊ (PCT 10 PEÇAS)  </t>
  </si>
  <si>
    <t>CAIXINHA REDONDA FLIP TOP AZUL BEBÊ</t>
  </si>
  <si>
    <t>CAIXINHA REDONDA FLIP TOP ROSA BEBÊ</t>
  </si>
  <si>
    <t>CAIXINHA QUADRADA FLIP TOP LILÁS</t>
  </si>
  <si>
    <t>CAIXINHA QUADRADA FLIP TOP AZUL BEBÊ</t>
  </si>
  <si>
    <t>CAIXINHA QUADRADA FLIP TOP ROSA BEBÊ</t>
  </si>
  <si>
    <t>CAIXINHA CORAÇÃO LILÁS TRANSPARENTE</t>
  </si>
  <si>
    <t>COFRINHO AZUL BEBÊ</t>
  </si>
  <si>
    <t>COFRINHO ROSA BEBÊ</t>
  </si>
  <si>
    <t>COFRINHO LILÁS</t>
  </si>
  <si>
    <t>COPO 300ML GOLD ROSA BABÊ</t>
  </si>
  <si>
    <t>COPO 300ML GOLD  AZUL BABÊ</t>
  </si>
  <si>
    <t>CAIXINHA TRIANGULAR  ROSA BEBÊ</t>
  </si>
  <si>
    <t>CAIXINHA TRIANGULAR  AZUL BEBÊ</t>
  </si>
  <si>
    <t>F2442</t>
  </si>
  <si>
    <t>CAIXA SEM DIVISÓRIA ACRILICA DOURADO</t>
  </si>
  <si>
    <t>F2443</t>
  </si>
  <si>
    <t>CAIXA SEM DIVISÓRIA ACRILICA PRETO</t>
  </si>
  <si>
    <t>F2444</t>
  </si>
  <si>
    <t>F2445</t>
  </si>
  <si>
    <t>CAIXA SEM DIVISÓRIA ACRILICA ROSA BEBÊ</t>
  </si>
  <si>
    <t>CAIXA SEM DIVISÓRIA ACRILICA VERMELHO</t>
  </si>
  <si>
    <t>F2446</t>
  </si>
  <si>
    <t>CAIXA SEM DIVISÓRIA ACRILICA TRANSPARENTE</t>
  </si>
  <si>
    <t>CAIXA SEM DIVISÓRIA ACRILICA AMARELO</t>
  </si>
  <si>
    <t>CAIXINHA 5/3 C/ BORDA ONDULADA VERMELHO TRANSPARENTE</t>
  </si>
  <si>
    <t>MINI COFRINHO LATA AZUL BEBÊ</t>
  </si>
  <si>
    <t>F2456</t>
  </si>
  <si>
    <t>COPO 300 ML SILVER LARANJA NEON</t>
  </si>
  <si>
    <t>COPO 300 ML SILVER ROSA NEON</t>
  </si>
  <si>
    <t>COPO 300 ML SILVER VERDE NEON</t>
  </si>
  <si>
    <t>F2457</t>
  </si>
  <si>
    <t>F2458</t>
  </si>
  <si>
    <t>COPO 500ML SUN LARANJA NEON</t>
  </si>
  <si>
    <t>CAIXA RETANGULAR M.  ROSA BEBÊ</t>
  </si>
  <si>
    <t>CAIXA RETANGULAR M. AZUL BEBÊ</t>
  </si>
  <si>
    <t>F2459</t>
  </si>
  <si>
    <t>F2460</t>
  </si>
  <si>
    <t>F2461</t>
  </si>
  <si>
    <t>F2462</t>
  </si>
  <si>
    <t>F2463</t>
  </si>
  <si>
    <t>F2464</t>
  </si>
  <si>
    <t>COPO 500ML SUN ROSA NEON</t>
  </si>
  <si>
    <t>COPO 500ML SUN TRANSPARENTE</t>
  </si>
  <si>
    <t xml:space="preserve">COPO 500ML SUN AZUL TRANSP </t>
  </si>
  <si>
    <t>70 PÇS POR CAIXA</t>
  </si>
  <si>
    <t>COPO 500ML SAN VERDE NEON</t>
  </si>
  <si>
    <t>COPO 500ML SUN VERMELHO TRANSP</t>
  </si>
  <si>
    <t>F2465</t>
  </si>
  <si>
    <t>F2466</t>
  </si>
  <si>
    <t>F2467</t>
  </si>
  <si>
    <t>F2468</t>
  </si>
  <si>
    <t>F2469</t>
  </si>
  <si>
    <t>F2470</t>
  </si>
  <si>
    <t>COPO 250ML SUN AZUL TRANSP</t>
  </si>
  <si>
    <t>COPO 250ML SUN LARANJA NEON</t>
  </si>
  <si>
    <t>COPO 250ML SUN ROSA NEON</t>
  </si>
  <si>
    <t>COPO 250ML SUN TRANSPARENTE</t>
  </si>
  <si>
    <t>COPO 250ML SUN VERDE NEON</t>
  </si>
  <si>
    <t>COPO 250ML SUN VERMELHO TRANSP</t>
  </si>
  <si>
    <t>F2471</t>
  </si>
  <si>
    <t>F2472</t>
  </si>
  <si>
    <t>F2473</t>
  </si>
  <si>
    <t>F2474</t>
  </si>
  <si>
    <t>F2475</t>
  </si>
  <si>
    <t>F2476</t>
  </si>
  <si>
    <t>COPO 300ML SUN AZUL TRANSP</t>
  </si>
  <si>
    <t>COPO 300ML SUN LARANJA NEON</t>
  </si>
  <si>
    <t>COPO 300ML SUN ROSA NEON</t>
  </si>
  <si>
    <t>COPO 300ML SUN TRANSPARENTE</t>
  </si>
  <si>
    <t>COPO 300ML SUN VERDE NEON</t>
  </si>
  <si>
    <t>COPO 300ML SUN VERMELHO TRANSP</t>
  </si>
  <si>
    <t>48 PEÇAS POR CX</t>
  </si>
  <si>
    <t>F2477</t>
  </si>
  <si>
    <t>F2478</t>
  </si>
  <si>
    <t>F2479</t>
  </si>
  <si>
    <t>F2480</t>
  </si>
  <si>
    <t>F2481</t>
  </si>
  <si>
    <t>F2482</t>
  </si>
  <si>
    <t>F2483</t>
  </si>
  <si>
    <t>F2484</t>
  </si>
  <si>
    <t>LATINHA Ø6X3 AMARELO</t>
  </si>
  <si>
    <t>LATINHA Ø6X3 AZUL BEBE</t>
  </si>
  <si>
    <t>LATINHA Ø6X3 AZUL ROYAL</t>
  </si>
  <si>
    <t>LATINHA Ø6X3 BRANCO</t>
  </si>
  <si>
    <t>LATINHA Ø6X3 PRETO</t>
  </si>
  <si>
    <t>LATINHA Ø6X3 ROSA BEBE</t>
  </si>
  <si>
    <t>LATINHA Ø6X3 TRANSPARENTE</t>
  </si>
  <si>
    <t>LATINHA Ø6X3 VERMELHO</t>
  </si>
  <si>
    <t>160 PÇS CX (16 PCT DEZ)</t>
  </si>
  <si>
    <t>F2485</t>
  </si>
  <si>
    <t>F2486</t>
  </si>
  <si>
    <t>F2487</t>
  </si>
  <si>
    <t>F2488</t>
  </si>
  <si>
    <t>F2489</t>
  </si>
  <si>
    <t>CAIXINHA URSINHO AZUL TRANSPARENTE</t>
  </si>
  <si>
    <t>CAIXINHA URSINHO BRANCO</t>
  </si>
  <si>
    <t>CAIXINHA URSINHO ROSA TRANSPARENTE</t>
  </si>
  <si>
    <t>CAIXINHA URSINHO TRANSPARENTE</t>
  </si>
  <si>
    <t>CAIXINHA URSINHO VERMELHO TRANSPARENTE</t>
  </si>
  <si>
    <t>100 PÇS CX (20 PCT COM 5)</t>
  </si>
  <si>
    <t>BOWL PROVENCAL VERDE NEON</t>
  </si>
  <si>
    <t>CACHEPOT FLOR MARROM</t>
  </si>
  <si>
    <t>F2407</t>
  </si>
  <si>
    <t>F2490</t>
  </si>
  <si>
    <t>F2491</t>
  </si>
  <si>
    <t>F2492</t>
  </si>
  <si>
    <t>F2493</t>
  </si>
  <si>
    <t>F2494</t>
  </si>
  <si>
    <t>TULIPA 200ML BRANCO</t>
  </si>
  <si>
    <t>TULIPA 200ML DOURADO</t>
  </si>
  <si>
    <t>TULIPA 200ML TRANSPARENTE</t>
  </si>
  <si>
    <t>TULIPA 200ML PRETO</t>
  </si>
  <si>
    <t>TULIPA 200ML VERMELHO TRANSPARENTE</t>
  </si>
  <si>
    <t>60 PEÇAS POR CX</t>
  </si>
  <si>
    <t>F2495</t>
  </si>
  <si>
    <t>F2496</t>
  </si>
  <si>
    <t>F2497</t>
  </si>
  <si>
    <t>F2498</t>
  </si>
  <si>
    <t>F2499</t>
  </si>
  <si>
    <t>F2500</t>
  </si>
  <si>
    <t>TUBETE 8CM AMARELO</t>
  </si>
  <si>
    <t>TUBETE 8CM AZUL</t>
  </si>
  <si>
    <t>TUBETE 8CM BRANCO</t>
  </si>
  <si>
    <t>TUBETE 8CM PRETO</t>
  </si>
  <si>
    <t>TUBETE 8CM ROSA</t>
  </si>
  <si>
    <t>TUBETE 8CM VERMELHO</t>
  </si>
  <si>
    <t>F2501</t>
  </si>
  <si>
    <t>F2502</t>
  </si>
  <si>
    <t>F2503</t>
  </si>
  <si>
    <t>F2504</t>
  </si>
  <si>
    <t>F2506</t>
  </si>
  <si>
    <t>TUBETE 13CM AMARELO</t>
  </si>
  <si>
    <t>TUBETE 13CM AZUL</t>
  </si>
  <si>
    <t>TUBETE 13CM BRANCO</t>
  </si>
  <si>
    <t>TUBETE 13CM PRETO</t>
  </si>
  <si>
    <t>TUBETE 13CM VERMELHO</t>
  </si>
  <si>
    <t>TUBETE 8CM AZUL BIC</t>
  </si>
  <si>
    <t>TUBETE 8CM DOURADO</t>
  </si>
  <si>
    <t>TUBETE 8CM LARANJA</t>
  </si>
  <si>
    <t>TUBETE 8CM LILAS</t>
  </si>
  <si>
    <t>TUBETE 8CM MARROM</t>
  </si>
  <si>
    <t>TUBETE 8CM VERDE ESCURO</t>
  </si>
  <si>
    <t>TUBETE 8CM PINK</t>
  </si>
  <si>
    <t>TUBETE 8CM PRATA</t>
  </si>
  <si>
    <t>TUBETE 8CM VERDE CLARO</t>
  </si>
  <si>
    <t>F2507</t>
  </si>
  <si>
    <t>F2508</t>
  </si>
  <si>
    <t>F2509</t>
  </si>
  <si>
    <t>F2510</t>
  </si>
  <si>
    <t>F2511</t>
  </si>
  <si>
    <t>F2512</t>
  </si>
  <si>
    <t>F2519</t>
  </si>
  <si>
    <t>F2520</t>
  </si>
  <si>
    <t>F2521</t>
  </si>
  <si>
    <t>TUBETE 13CM AZUL BIC</t>
  </si>
  <si>
    <t>TUBETE 13CM DOURADO</t>
  </si>
  <si>
    <t>TUBETE 13CM LARANJA</t>
  </si>
  <si>
    <t>TUBETE 13CM LILAS</t>
  </si>
  <si>
    <t>TUBETE 13CM MARROM</t>
  </si>
  <si>
    <t>TUBETE 13CM VERDE ESCURO</t>
  </si>
  <si>
    <t>TUBETE 13CM PINK</t>
  </si>
  <si>
    <t>TUBETE 13CM PRATA</t>
  </si>
  <si>
    <t>TUBETE 13CM VERDE CLARO</t>
  </si>
  <si>
    <t>F2513</t>
  </si>
  <si>
    <t>F2514</t>
  </si>
  <si>
    <t>F2515</t>
  </si>
  <si>
    <t>F2516</t>
  </si>
  <si>
    <t>F2517</t>
  </si>
  <si>
    <t>F2518</t>
  </si>
  <si>
    <t>F2522</t>
  </si>
  <si>
    <t>F2523</t>
  </si>
  <si>
    <t>F2524</t>
  </si>
  <si>
    <t>F2505</t>
  </si>
  <si>
    <t>TUBETE 13CM ROSA</t>
  </si>
  <si>
    <t>CACHEPOT RETANGULAR G ROSA</t>
  </si>
  <si>
    <t>F2525</t>
  </si>
  <si>
    <t>F2526</t>
  </si>
  <si>
    <t>F2527</t>
  </si>
  <si>
    <t>F2528</t>
  </si>
  <si>
    <t>F2529</t>
  </si>
  <si>
    <t>F2530</t>
  </si>
  <si>
    <t>F2531</t>
  </si>
  <si>
    <t>F2532</t>
  </si>
  <si>
    <t>F2533</t>
  </si>
  <si>
    <t>F2534</t>
  </si>
  <si>
    <t>F2535</t>
  </si>
  <si>
    <t>F2536</t>
  </si>
  <si>
    <t>TAÇA CHAMPAGNE 170ML BRANCO</t>
  </si>
  <si>
    <t>TAÇA CHAMPAGNE 170ML DOURADO</t>
  </si>
  <si>
    <t>TAÇA CHAMPAGNE 170ML PRETO</t>
  </si>
  <si>
    <t>TAÇA CHAMPAGNE 170ML TRANSPARENTE</t>
  </si>
  <si>
    <t>TAÇA CHAMPAGNE 170ML VERMELHO</t>
  </si>
  <si>
    <t>TAÇA CHAMPAGNE 170ML TRANSPARENTE/AMARELO</t>
  </si>
  <si>
    <t>TAÇA CHAMPAGNE 170ML TRANSPARENTE/BRANCO</t>
  </si>
  <si>
    <t>TAÇA CHAMPAGNE 170ML TRANSPARENTE/DOURADO</t>
  </si>
  <si>
    <t>TAÇA CHAMPAGNE 170ML TRANSPARENTE/PRATA</t>
  </si>
  <si>
    <t>TAÇA CHAMPAGNE 170ML TRANSPARENTE/PRETO</t>
  </si>
  <si>
    <t>TAÇA CHAMPAGNE 170ML TRANSPARENTE/ROSA BEBE</t>
  </si>
  <si>
    <t>TAÇA CHAMPAGNE 170ML TRANSPARENTE/VERMELHO</t>
  </si>
  <si>
    <t>40 PEÇAS POR CX</t>
  </si>
  <si>
    <t>F2537</t>
  </si>
  <si>
    <t>F2538</t>
  </si>
  <si>
    <t>F2539</t>
  </si>
  <si>
    <t>F2540</t>
  </si>
  <si>
    <t>F2541</t>
  </si>
  <si>
    <t>CAIXA REDONDA DIVISORIA BRANCO</t>
  </si>
  <si>
    <t>CAIXA REDONDA DIVISORIA DOURADO</t>
  </si>
  <si>
    <t>CAIXA REDONDA DIVISORIA PRETO</t>
  </si>
  <si>
    <t>CAIXA REDONDA DIVISORIA TRANSPARENTE</t>
  </si>
  <si>
    <t>CAIXA REDONDA DIVISORIA VERMELHO TRANSPARENTE</t>
  </si>
  <si>
    <t>44 PÇS POR CX</t>
  </si>
  <si>
    <t xml:space="preserve">CACHEPOT SEXTAVADO  PEQUENO LILAS              </t>
  </si>
  <si>
    <t xml:space="preserve">CACHEPOT SEXTAVADO PEQUENO ROSA              </t>
  </si>
  <si>
    <t xml:space="preserve">MALETA MORANGO VERMELHO           </t>
  </si>
  <si>
    <t xml:space="preserve">CACHEPOT SEXTAVADO PEQUENO VERMELHO RUBI              </t>
  </si>
  <si>
    <t xml:space="preserve">CACHEPOT SEXTAVADO PEQUENO TRANSPARENTE         </t>
  </si>
  <si>
    <t>250 PÇS CX (25 DEZ)</t>
  </si>
  <si>
    <t>F2542</t>
  </si>
  <si>
    <t>F2543</t>
  </si>
  <si>
    <t>F2544</t>
  </si>
  <si>
    <t>F2545</t>
  </si>
  <si>
    <t>F2546</t>
  </si>
  <si>
    <t>F2547</t>
  </si>
  <si>
    <t>F2548</t>
  </si>
  <si>
    <t>BISNAGA 30GR AMARELO</t>
  </si>
  <si>
    <t>BISNAGA 30GR BRANCO</t>
  </si>
  <si>
    <t>BISNAGA 30GR PRETO</t>
  </si>
  <si>
    <t>BISNAGA 30GR TRANSPARENTE</t>
  </si>
  <si>
    <t>BISNAGA 30GR VERMELHO</t>
  </si>
  <si>
    <t>BISNAGA 30GR AZUL BEBE</t>
  </si>
  <si>
    <t>BISNAGA 30GR ROSA BEBE</t>
  </si>
  <si>
    <t>CAIXA ACRILICA 12X12 BRANCO</t>
  </si>
  <si>
    <t>CAIXA ACRILICA 12X12 DOURADO</t>
  </si>
  <si>
    <t>CAIXA ACRILICA 12X12 PRETO</t>
  </si>
  <si>
    <t>CAIXA ACRILICA 12X12 TRANSPARENTE</t>
  </si>
  <si>
    <t>CAIXA ACRILICA 12X12 VERMELHO TRANSP.</t>
  </si>
  <si>
    <t>F2549</t>
  </si>
  <si>
    <t>F2550</t>
  </si>
  <si>
    <t>F2551</t>
  </si>
  <si>
    <t>F2552</t>
  </si>
  <si>
    <t>F2553</t>
  </si>
  <si>
    <t>F2554</t>
  </si>
  <si>
    <t>F2555</t>
  </si>
  <si>
    <t>F2556</t>
  </si>
  <si>
    <t>F2557</t>
  </si>
  <si>
    <t>COPO 250ML SILVER AZUL TRANSPARENTE</t>
  </si>
  <si>
    <t>COPO 250ML SILVER ROSA TRANSPARENTE</t>
  </si>
  <si>
    <t>COPO 250ML SILVER TRANSPARENTE</t>
  </si>
  <si>
    <t>COPO 250ML SILVER VERMELHO TRANSPARENTE</t>
  </si>
  <si>
    <t>25 PÇS POR CAIXA</t>
  </si>
  <si>
    <t>F2558</t>
  </si>
  <si>
    <t>TAÇA CHAMPAGNE 170ML ROSE GOLD</t>
  </si>
  <si>
    <t>F2559</t>
  </si>
  <si>
    <t>TAÇA CHAMPAGNE 170ML TRANSPARENTE/ROSE GOLD</t>
  </si>
  <si>
    <t>F2563</t>
  </si>
  <si>
    <t>F2564</t>
  </si>
  <si>
    <t>F2565</t>
  </si>
  <si>
    <t>F2566</t>
  </si>
  <si>
    <t>TAÇA DE VINHO 240ML ROSE TRANSPARENTE</t>
  </si>
  <si>
    <t>TAÇA DE VINHO 240ML TRANSPARENTE</t>
  </si>
  <si>
    <t>TAÇA DE VINHO 240ML VERDE TRANSPARENTE</t>
  </si>
  <si>
    <t>TAÇA DE VINHO 240ML VERMELHO TRANSPARENTE</t>
  </si>
  <si>
    <t>35 PÇS POR CAIXA</t>
  </si>
  <si>
    <t>24 PÇS POR CAIXA</t>
  </si>
  <si>
    <t>F2567</t>
  </si>
  <si>
    <t>CAIXA DIVISORIA ACRILICA 12X12 BRANCO</t>
  </si>
  <si>
    <t>F2568</t>
  </si>
  <si>
    <t>CAIXA DIVISORIA ACRILICA 12X12 DOURADO</t>
  </si>
  <si>
    <t>F2569</t>
  </si>
  <si>
    <t>CAIXA DIVISORIA ACRILICA 12X12 PRETO</t>
  </si>
  <si>
    <t>F2570</t>
  </si>
  <si>
    <t>CAIXA DIVISORIA ACRILICA 12X12 TRANSPARENTE</t>
  </si>
  <si>
    <t>F2571</t>
  </si>
  <si>
    <t>CAIXA DIVISORIA ACRILICA 12X12 VERMELHO TRANSP.</t>
  </si>
  <si>
    <t>F2572</t>
  </si>
  <si>
    <t>F2573</t>
  </si>
  <si>
    <t>F2574</t>
  </si>
  <si>
    <t>F2575</t>
  </si>
  <si>
    <t>F2576</t>
  </si>
  <si>
    <t>F2577</t>
  </si>
  <si>
    <t>F2578</t>
  </si>
  <si>
    <t>F2579</t>
  </si>
  <si>
    <t>CAIXINHA ACRILICA 7X7 AMARELO</t>
  </si>
  <si>
    <t>CAIXINHA ACRILICA 7X7 AZUL TRANSPARENTE</t>
  </si>
  <si>
    <t>CAIXINHA ACRILICA 7X7 BRANCO</t>
  </si>
  <si>
    <t>CAIXINHA ACRILICA 7X7 DOURADO</t>
  </si>
  <si>
    <t>CAIXINHA ACRILICA 7X7 PRETO</t>
  </si>
  <si>
    <t>CAIXINHA ACRILICA 7X7 ROSA TRANSPARENTE</t>
  </si>
  <si>
    <t>CAIXINHA ACRILICA 7X7 TRANSPARENTE</t>
  </si>
  <si>
    <t>CAIXINHA ACRILICA 7X7 VERMELHO TRANSPARENTE</t>
  </si>
  <si>
    <t>68 PÇS CX</t>
  </si>
  <si>
    <t>180 PÇS CX</t>
  </si>
  <si>
    <t>87 PÇS CX</t>
  </si>
  <si>
    <t>40 PÇS CX</t>
  </si>
  <si>
    <t>48 PÇS POR CX</t>
  </si>
  <si>
    <t>48 PCS CX</t>
  </si>
  <si>
    <t>44 PÇS CX</t>
  </si>
  <si>
    <t>84 PÇS CX</t>
  </si>
  <si>
    <t>310 PÇS CX (31 DEZ)</t>
  </si>
  <si>
    <t>390 PÇS CX (39 DEZ)</t>
  </si>
  <si>
    <t>44 PEÇAS POR CX</t>
  </si>
  <si>
    <t>200 PÇS POR CX (20 DEZ)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</si>
</sst>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#,##0.00;[Red]\-&quot;R$&quot;#,##0.00"/>
    <numFmt numFmtId="165" formatCode="000"/>
    <numFmt numFmtId="166" formatCode="_-* #,##0.0000_-;\-* #,##0.0000_-;_-* &quot;-&quot;??_-;_-@_-"/>
    <numFmt numFmtId="167" formatCode="_([$€-2]* #,##0.00_);_([$€-2]* \(#,##0.00\);_([$€-2]* &quot;-&quot;??_)"/>
    <numFmt numFmtId="168" formatCode="_-* #,##0_-;\-* #,##0_-;_-* &quot;-&quot;??_-;_-@_-"/>
    <numFmt numFmtId="169" formatCode="_(&quot;R$ &quot;* #,##0.00_);_(&quot;R$ &quot;* \(#,##0.00\);_(&quot;R$ &quot;* &quot;-&quot;??_);_(@_)"/>
  </numFmts>
  <fonts count="3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Tahoma"/>
      <family val="2"/>
    </font>
    <font>
      <sz val="12"/>
      <name val="Tahoma"/>
      <family val="2"/>
    </font>
    <font>
      <sz val="14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1"/>
      <color indexed="8"/>
      <name val="Tahoma"/>
      <family val="2"/>
    </font>
    <font>
      <sz val="11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Tahoma"/>
      <family val="2"/>
    </font>
    <font>
      <sz val="12"/>
      <color theme="1"/>
      <name val="Tahoma"/>
      <family val="2"/>
    </font>
    <font>
      <sz val="14"/>
      <color theme="1"/>
      <name val="Tahoma"/>
      <family val="2"/>
    </font>
    <font>
      <b/>
      <sz val="12"/>
      <color theme="1"/>
      <name val="Tahoma"/>
      <family val="2"/>
    </font>
    <font>
      <b/>
      <sz val="11"/>
      <color rgb="FFFF0000"/>
      <name val="Tahoma"/>
      <family val="2"/>
    </font>
    <font>
      <sz val="11"/>
      <color rgb="FFFF0000"/>
      <name val="Tahoma"/>
      <family val="2"/>
    </font>
    <font>
      <sz val="12"/>
      <color rgb="FFFF0000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8" fillId="20" borderId="0" applyNumberFormat="0" applyBorder="0" applyAlignment="0" applyProtection="0"/>
    <xf numFmtId="0" fontId="9" fillId="21" borderId="15" applyNumberFormat="0" applyAlignment="0" applyProtection="0"/>
    <xf numFmtId="0" fontId="10" fillId="22" borderId="16" applyNumberFormat="0" applyAlignment="0" applyProtection="0"/>
    <xf numFmtId="0" fontId="11" fillId="0" borderId="17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12" fillId="29" borderId="15" applyNumberFormat="0" applyAlignment="0" applyProtection="0"/>
    <xf numFmtId="0" fontId="13" fillId="30" borderId="0" applyNumberFormat="0" applyBorder="0" applyAlignment="0" applyProtection="0"/>
    <xf numFmtId="44" fontId="6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4" fillId="31" borderId="0" applyNumberFormat="0" applyBorder="0" applyAlignment="0" applyProtection="0"/>
    <xf numFmtId="0" fontId="1" fillId="0" borderId="0"/>
    <xf numFmtId="0" fontId="1" fillId="0" borderId="0"/>
    <xf numFmtId="0" fontId="2" fillId="0" borderId="0"/>
    <xf numFmtId="0" fontId="6" fillId="32" borderId="18" applyNumberFormat="0" applyFont="0" applyAlignment="0" applyProtection="0"/>
    <xf numFmtId="0" fontId="15" fillId="21" borderId="19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20" applyNumberFormat="0" applyFill="0" applyAlignment="0" applyProtection="0"/>
    <xf numFmtId="0" fontId="20" fillId="0" borderId="21" applyNumberFormat="0" applyFill="0" applyAlignment="0" applyProtection="0"/>
    <xf numFmtId="0" fontId="21" fillId="0" borderId="22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23" applyNumberFormat="0" applyFill="0" applyAlignment="0" applyProtection="0"/>
    <xf numFmtId="43" fontId="6" fillId="0" borderId="0" applyFont="0" applyFill="0" applyBorder="0" applyAlignment="0" applyProtection="0"/>
    <xf numFmtId="0" fontId="2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</cellStyleXfs>
  <cellXfs count="151">
    <xf numFmtId="0" fontId="0" fillId="0" borderId="0" xfId="0"/>
    <xf numFmtId="0" fontId="23" fillId="0" borderId="0" xfId="0" applyFont="1"/>
    <xf numFmtId="168" fontId="3" fillId="33" borderId="3" xfId="47" applyNumberFormat="1" applyFont="1" applyFill="1" applyBorder="1" applyAlignment="1"/>
    <xf numFmtId="168" fontId="3" fillId="33" borderId="3" xfId="47" applyNumberFormat="1" applyFont="1" applyFill="1" applyBorder="1" applyAlignment="1">
      <alignment horizontal="left"/>
    </xf>
    <xf numFmtId="167" fontId="4" fillId="35" borderId="3" xfId="36" applyNumberFormat="1" applyFont="1" applyFill="1" applyBorder="1" applyAlignment="1">
      <alignment horizontal="left" vertical="center"/>
    </xf>
    <xf numFmtId="168" fontId="3" fillId="33" borderId="6" xfId="47" applyNumberFormat="1" applyFont="1" applyFill="1" applyBorder="1" applyAlignment="1"/>
    <xf numFmtId="0" fontId="22" fillId="0" borderId="0" xfId="0" applyFont="1" applyBorder="1"/>
    <xf numFmtId="0" fontId="23" fillId="0" borderId="0" xfId="0" applyFont="1" applyBorder="1"/>
    <xf numFmtId="0" fontId="22" fillId="0" borderId="3" xfId="0" applyFont="1" applyFill="1" applyBorder="1" applyAlignment="1">
      <alignment horizontal="center"/>
    </xf>
    <xf numFmtId="0" fontId="23" fillId="0" borderId="6" xfId="0" applyFont="1" applyBorder="1"/>
    <xf numFmtId="0" fontId="23" fillId="0" borderId="2" xfId="0" applyFont="1" applyBorder="1"/>
    <xf numFmtId="0" fontId="23" fillId="0" borderId="3" xfId="0" applyFont="1" applyBorder="1"/>
    <xf numFmtId="169" fontId="24" fillId="0" borderId="3" xfId="31" applyNumberFormat="1" applyFont="1" applyBorder="1"/>
    <xf numFmtId="169" fontId="24" fillId="0" borderId="10" xfId="31" applyNumberFormat="1" applyFont="1" applyBorder="1"/>
    <xf numFmtId="169" fontId="24" fillId="0" borderId="9" xfId="31" applyNumberFormat="1" applyFont="1" applyBorder="1"/>
    <xf numFmtId="169" fontId="24" fillId="0" borderId="24" xfId="31" applyNumberFormat="1" applyFont="1" applyBorder="1"/>
    <xf numFmtId="44" fontId="23" fillId="0" borderId="3" xfId="31" applyFont="1" applyBorder="1"/>
    <xf numFmtId="0" fontId="23" fillId="0" borderId="3" xfId="0" applyFont="1" applyFill="1" applyBorder="1" applyAlignment="1">
      <alignment horizontal="left"/>
    </xf>
    <xf numFmtId="168" fontId="3" fillId="33" borderId="6" xfId="47" applyNumberFormat="1" applyFont="1" applyFill="1" applyBorder="1" applyAlignment="1">
      <alignment horizontal="left"/>
    </xf>
    <xf numFmtId="168" fontId="3" fillId="33" borderId="7" xfId="47" applyNumberFormat="1" applyFont="1" applyFill="1" applyBorder="1" applyAlignment="1">
      <alignment horizontal="left"/>
    </xf>
    <xf numFmtId="169" fontId="24" fillId="0" borderId="11" xfId="31" applyNumberFormat="1" applyFont="1" applyBorder="1"/>
    <xf numFmtId="169" fontId="24" fillId="0" borderId="6" xfId="31" applyNumberFormat="1" applyFont="1" applyBorder="1"/>
    <xf numFmtId="169" fontId="24" fillId="0" borderId="7" xfId="31" applyNumberFormat="1" applyFont="1" applyBorder="1"/>
    <xf numFmtId="168" fontId="3" fillId="33" borderId="7" xfId="47" applyNumberFormat="1" applyFont="1" applyFill="1" applyBorder="1" applyAlignment="1"/>
    <xf numFmtId="168" fontId="3" fillId="33" borderId="0" xfId="47" applyNumberFormat="1" applyFont="1" applyFill="1" applyBorder="1" applyAlignment="1">
      <alignment horizontal="left"/>
    </xf>
    <xf numFmtId="169" fontId="24" fillId="0" borderId="0" xfId="31" applyNumberFormat="1" applyFont="1" applyBorder="1"/>
    <xf numFmtId="168" fontId="3" fillId="33" borderId="0" xfId="47" applyNumberFormat="1" applyFont="1" applyFill="1" applyBorder="1" applyAlignment="1"/>
    <xf numFmtId="168" fontId="3" fillId="33" borderId="12" xfId="47" applyNumberFormat="1" applyFont="1" applyFill="1" applyBorder="1" applyAlignment="1">
      <alignment horizontal="left"/>
    </xf>
    <xf numFmtId="169" fontId="24" fillId="0" borderId="12" xfId="31" applyNumberFormat="1" applyFont="1" applyBorder="1"/>
    <xf numFmtId="168" fontId="3" fillId="33" borderId="12" xfId="47" applyNumberFormat="1" applyFont="1" applyFill="1" applyBorder="1" applyAlignment="1"/>
    <xf numFmtId="44" fontId="24" fillId="0" borderId="7" xfId="31" applyNumberFormat="1" applyFont="1" applyBorder="1"/>
    <xf numFmtId="44" fontId="24" fillId="0" borderId="12" xfId="31" applyNumberFormat="1" applyFont="1" applyBorder="1"/>
    <xf numFmtId="168" fontId="3" fillId="33" borderId="11" xfId="47" applyNumberFormat="1" applyFont="1" applyFill="1" applyBorder="1" applyAlignment="1"/>
    <xf numFmtId="169" fontId="24" fillId="0" borderId="25" xfId="31" applyNumberFormat="1" applyFont="1" applyBorder="1"/>
    <xf numFmtId="44" fontId="24" fillId="0" borderId="12" xfId="31" applyNumberFormat="1" applyFont="1" applyBorder="1" applyAlignment="1">
      <alignment horizontal="left"/>
    </xf>
    <xf numFmtId="168" fontId="3" fillId="33" borderId="26" xfId="47" applyNumberFormat="1" applyFont="1" applyFill="1" applyBorder="1" applyAlignment="1">
      <alignment horizontal="left"/>
    </xf>
    <xf numFmtId="169" fontId="24" fillId="0" borderId="26" xfId="31" applyNumberFormat="1" applyFont="1" applyBorder="1"/>
    <xf numFmtId="168" fontId="3" fillId="33" borderId="26" xfId="47" applyNumberFormat="1" applyFont="1" applyFill="1" applyBorder="1" applyAlignment="1"/>
    <xf numFmtId="44" fontId="23" fillId="0" borderId="1" xfId="31" applyFont="1" applyBorder="1"/>
    <xf numFmtId="0" fontId="25" fillId="0" borderId="3" xfId="0" applyFont="1" applyBorder="1"/>
    <xf numFmtId="0" fontId="23" fillId="0" borderId="30" xfId="0" applyFont="1" applyBorder="1"/>
    <xf numFmtId="0" fontId="23" fillId="0" borderId="32" xfId="0" applyFont="1" applyBorder="1"/>
    <xf numFmtId="0" fontId="23" fillId="0" borderId="33" xfId="0" applyFont="1" applyBorder="1"/>
    <xf numFmtId="44" fontId="23" fillId="0" borderId="6" xfId="31" applyFont="1" applyBorder="1"/>
    <xf numFmtId="168" fontId="3" fillId="33" borderId="11" xfId="47" applyNumberFormat="1" applyFont="1" applyFill="1" applyBorder="1" applyAlignment="1">
      <alignment horizontal="left"/>
    </xf>
    <xf numFmtId="0" fontId="25" fillId="0" borderId="7" xfId="0" applyFont="1" applyBorder="1"/>
    <xf numFmtId="0" fontId="23" fillId="0" borderId="1" xfId="0" applyFont="1" applyBorder="1"/>
    <xf numFmtId="168" fontId="3" fillId="33" borderId="2" xfId="47" applyNumberFormat="1" applyFont="1" applyFill="1" applyBorder="1" applyAlignment="1"/>
    <xf numFmtId="0" fontId="23" fillId="0" borderId="11" xfId="0" applyFont="1" applyBorder="1"/>
    <xf numFmtId="0" fontId="23" fillId="0" borderId="7" xfId="0" applyFont="1" applyBorder="1"/>
    <xf numFmtId="0" fontId="27" fillId="33" borderId="0" xfId="0" applyFont="1" applyFill="1" applyAlignment="1">
      <alignment horizontal="left"/>
    </xf>
    <xf numFmtId="0" fontId="28" fillId="33" borderId="1" xfId="0" applyFont="1" applyFill="1" applyBorder="1" applyAlignment="1"/>
    <xf numFmtId="0" fontId="28" fillId="33" borderId="2" xfId="0" applyFont="1" applyFill="1" applyBorder="1" applyAlignment="1"/>
    <xf numFmtId="0" fontId="28" fillId="35" borderId="3" xfId="0" applyFont="1" applyFill="1" applyBorder="1" applyAlignment="1" applyProtection="1">
      <alignment horizontal="center"/>
      <protection locked="0"/>
    </xf>
    <xf numFmtId="0" fontId="27" fillId="34" borderId="0" xfId="0" applyFont="1" applyFill="1"/>
    <xf numFmtId="0" fontId="27" fillId="0" borderId="0" xfId="0" applyFont="1"/>
    <xf numFmtId="165" fontId="27" fillId="33" borderId="4" xfId="0" applyNumberFormat="1" applyFont="1" applyFill="1" applyBorder="1" applyAlignment="1">
      <alignment horizontal="left"/>
    </xf>
    <xf numFmtId="165" fontId="27" fillId="33" borderId="5" xfId="0" applyNumberFormat="1" applyFont="1" applyFill="1" applyBorder="1" applyAlignment="1">
      <alignment horizontal="left"/>
    </xf>
    <xf numFmtId="0" fontId="27" fillId="33" borderId="0" xfId="0" applyFont="1" applyFill="1" applyAlignment="1" applyProtection="1">
      <alignment horizontal="left"/>
      <protection locked="0"/>
    </xf>
    <xf numFmtId="14" fontId="27" fillId="33" borderId="0" xfId="0" applyNumberFormat="1" applyFont="1" applyFill="1" applyBorder="1" applyAlignment="1" applyProtection="1">
      <alignment horizontal="left"/>
      <protection locked="0"/>
    </xf>
    <xf numFmtId="0" fontId="27" fillId="33" borderId="0" xfId="0" applyFont="1" applyFill="1" applyBorder="1" applyAlignment="1" applyProtection="1">
      <alignment horizontal="left"/>
      <protection locked="0"/>
    </xf>
    <xf numFmtId="0" fontId="29" fillId="33" borderId="1" xfId="0" applyFont="1" applyFill="1" applyBorder="1" applyAlignment="1"/>
    <xf numFmtId="0" fontId="29" fillId="33" borderId="2" xfId="0" applyFont="1" applyFill="1" applyBorder="1" applyAlignment="1"/>
    <xf numFmtId="0" fontId="29" fillId="33" borderId="2" xfId="0" applyFont="1" applyFill="1" applyBorder="1" applyAlignment="1" applyProtection="1">
      <alignment horizontal="center"/>
      <protection locked="0"/>
    </xf>
    <xf numFmtId="0" fontId="27" fillId="33" borderId="0" xfId="0" applyFont="1" applyFill="1"/>
    <xf numFmtId="0" fontId="27" fillId="35" borderId="3" xfId="0" applyFont="1" applyFill="1" applyBorder="1" applyAlignment="1">
      <alignment horizontal="center"/>
    </xf>
    <xf numFmtId="0" fontId="27" fillId="33" borderId="6" xfId="0" applyFont="1" applyFill="1" applyBorder="1" applyAlignment="1" applyProtection="1">
      <alignment horizontal="center"/>
    </xf>
    <xf numFmtId="0" fontId="27" fillId="33" borderId="0" xfId="0" applyFont="1" applyFill="1" applyBorder="1" applyAlignment="1"/>
    <xf numFmtId="0" fontId="27" fillId="35" borderId="3" xfId="0" applyFont="1" applyFill="1" applyBorder="1" applyAlignment="1">
      <alignment horizontal="left"/>
    </xf>
    <xf numFmtId="0" fontId="27" fillId="35" borderId="1" xfId="0" applyFont="1" applyFill="1" applyBorder="1" applyAlignment="1">
      <alignment horizontal="left"/>
    </xf>
    <xf numFmtId="0" fontId="27" fillId="35" borderId="2" xfId="0" applyFont="1" applyFill="1" applyBorder="1"/>
    <xf numFmtId="0" fontId="27" fillId="35" borderId="2" xfId="0" applyFont="1" applyFill="1" applyBorder="1" applyAlignment="1">
      <alignment horizontal="left"/>
    </xf>
    <xf numFmtId="0" fontId="27" fillId="33" borderId="1" xfId="0" applyFont="1" applyFill="1" applyBorder="1" applyAlignment="1">
      <alignment horizontal="left"/>
    </xf>
    <xf numFmtId="0" fontId="27" fillId="33" borderId="2" xfId="0" applyFont="1" applyFill="1" applyBorder="1"/>
    <xf numFmtId="168" fontId="27" fillId="33" borderId="3" xfId="47" applyNumberFormat="1" applyFont="1" applyFill="1" applyBorder="1" applyAlignment="1">
      <alignment horizontal="left"/>
    </xf>
    <xf numFmtId="166" fontId="27" fillId="33" borderId="3" xfId="47" applyNumberFormat="1" applyFont="1" applyFill="1" applyBorder="1" applyAlignment="1"/>
    <xf numFmtId="43" fontId="27" fillId="33" borderId="3" xfId="47" applyFont="1" applyFill="1" applyBorder="1" applyAlignment="1">
      <alignment horizontal="right"/>
    </xf>
    <xf numFmtId="0" fontId="23" fillId="33" borderId="6" xfId="0" applyFont="1" applyFill="1" applyBorder="1" applyAlignment="1" applyProtection="1">
      <protection locked="0"/>
    </xf>
    <xf numFmtId="0" fontId="23" fillId="33" borderId="3" xfId="0" applyNumberFormat="1" applyFont="1" applyFill="1" applyBorder="1" applyAlignment="1" applyProtection="1">
      <alignment horizontal="left"/>
      <protection locked="0"/>
    </xf>
    <xf numFmtId="0" fontId="32" fillId="34" borderId="0" xfId="0" applyFont="1" applyFill="1"/>
    <xf numFmtId="14" fontId="33" fillId="33" borderId="3" xfId="0" applyNumberFormat="1" applyFont="1" applyFill="1" applyBorder="1" applyAlignment="1" applyProtection="1">
      <alignment horizontal="center"/>
      <protection locked="0"/>
    </xf>
    <xf numFmtId="167" fontId="4" fillId="35" borderId="31" xfId="36" applyNumberFormat="1" applyFont="1" applyFill="1" applyBorder="1" applyAlignment="1">
      <alignment vertical="center"/>
    </xf>
    <xf numFmtId="168" fontId="3" fillId="33" borderId="31" xfId="47" applyNumberFormat="1" applyFont="1" applyFill="1" applyBorder="1" applyAlignment="1"/>
    <xf numFmtId="0" fontId="23" fillId="0" borderId="0" xfId="0" applyFont="1" applyAlignment="1"/>
    <xf numFmtId="8" fontId="23" fillId="0" borderId="3" xfId="31" applyNumberFormat="1" applyFont="1" applyBorder="1"/>
    <xf numFmtId="164" fontId="23" fillId="0" borderId="3" xfId="0" applyNumberFormat="1" applyFont="1" applyBorder="1"/>
    <xf numFmtId="0" fontId="0" fillId="0" borderId="3" xfId="0" applyBorder="1"/>
    <xf numFmtId="0" fontId="23" fillId="34" borderId="0" xfId="0" applyFont="1" applyFill="1"/>
    <xf numFmtId="12" fontId="23" fillId="33" borderId="3" xfId="0" applyNumberFormat="1" applyFont="1" applyFill="1" applyBorder="1" applyAlignment="1" applyProtection="1">
      <alignment horizontal="left"/>
      <protection locked="0"/>
    </xf>
    <xf numFmtId="2" fontId="23" fillId="33" borderId="3" xfId="0" applyNumberFormat="1" applyFont="1" applyFill="1" applyBorder="1" applyAlignment="1" applyProtection="1">
      <alignment horizontal="left"/>
      <protection locked="0"/>
    </xf>
    <xf numFmtId="0" fontId="26" fillId="33" borderId="3" xfId="48" applyFill="1" applyBorder="1" applyAlignment="1" applyProtection="1">
      <alignment horizontal="left"/>
      <protection locked="0"/>
    </xf>
    <xf numFmtId="0" fontId="0" fillId="0" borderId="3" xfId="0" applyBorder="1"/>
    <xf numFmtId="0" fontId="0" fillId="0" borderId="2" xfId="0" applyBorder="1"/>
    <xf numFmtId="0" fontId="23" fillId="33" borderId="3" xfId="0" applyFont="1" applyFill="1" applyBorder="1" applyAlignment="1" applyProtection="1">
      <alignment horizontal="left"/>
      <protection locked="0"/>
    </xf>
    <xf numFmtId="0" fontId="0" fillId="0" borderId="3" xfId="0" applyBorder="1"/>
    <xf numFmtId="0" fontId="23" fillId="33" borderId="3" xfId="0" applyFont="1" applyFill="1" applyBorder="1" applyAlignment="1" applyProtection="1">
      <alignment horizontal="center"/>
      <protection locked="0"/>
    </xf>
    <xf numFmtId="168" fontId="3" fillId="33" borderId="3" xfId="47" applyNumberFormat="1" applyFont="1" applyFill="1" applyBorder="1" applyAlignment="1" applyProtection="1">
      <alignment horizontal="center"/>
      <protection locked="0"/>
    </xf>
    <xf numFmtId="0" fontId="27" fillId="33" borderId="3" xfId="0" applyFont="1" applyFill="1" applyBorder="1" applyAlignment="1" applyProtection="1">
      <alignment horizontal="left"/>
      <protection locked="0"/>
    </xf>
    <xf numFmtId="0" fontId="23" fillId="35" borderId="3" xfId="0" applyFont="1" applyFill="1" applyBorder="1" applyAlignment="1">
      <alignment horizontal="left"/>
    </xf>
    <xf numFmtId="0" fontId="23" fillId="35" borderId="1" xfId="0" applyFont="1" applyFill="1" applyBorder="1" applyAlignment="1">
      <alignment horizontal="left"/>
    </xf>
    <xf numFmtId="0" fontId="32" fillId="33" borderId="3" xfId="47" applyNumberFormat="1" applyFont="1" applyFill="1" applyBorder="1" applyAlignment="1" applyProtection="1">
      <alignment horizontal="center"/>
    </xf>
    <xf numFmtId="0" fontId="23" fillId="0" borderId="3" xfId="0" applyFont="1" applyBorder="1" applyAlignment="1"/>
    <xf numFmtId="168" fontId="3" fillId="33" borderId="31" xfId="47" applyNumberFormat="1" applyFont="1" applyFill="1" applyBorder="1" applyAlignment="1">
      <alignment horizontal="center"/>
    </xf>
    <xf numFmtId="168" fontId="3" fillId="33" borderId="34" xfId="47" applyNumberFormat="1" applyFont="1" applyFill="1" applyBorder="1" applyAlignment="1">
      <alignment horizontal="center"/>
    </xf>
    <xf numFmtId="0" fontId="23" fillId="0" borderId="3" xfId="0" applyFont="1" applyBorder="1" applyAlignment="1">
      <alignment horizontal="center"/>
    </xf>
    <xf numFmtId="0" fontId="0" fillId="0" borderId="3" xfId="0" applyBorder="1"/>
    <xf numFmtId="168" fontId="3" fillId="33" borderId="34" xfId="47" applyNumberFormat="1" applyFont="1" applyFill="1" applyBorder="1" applyAlignment="1"/>
    <xf numFmtId="168" fontId="3" fillId="0" borderId="31" xfId="47" applyNumberFormat="1" applyFont="1" applyFill="1" applyBorder="1" applyAlignment="1"/>
    <xf numFmtId="168" fontId="3" fillId="0" borderId="3" xfId="47" applyNumberFormat="1" applyFont="1" applyFill="1" applyBorder="1" applyAlignment="1">
      <alignment horizontal="left"/>
    </xf>
    <xf numFmtId="168" fontId="3" fillId="0" borderId="0" xfId="47" applyNumberFormat="1" applyFont="1" applyFill="1" applyBorder="1" applyAlignment="1"/>
    <xf numFmtId="168" fontId="3" fillId="0" borderId="0" xfId="47" applyNumberFormat="1" applyFont="1" applyFill="1" applyBorder="1" applyAlignment="1">
      <alignment horizontal="left"/>
    </xf>
    <xf numFmtId="169" fontId="24" fillId="0" borderId="0" xfId="31" applyNumberFormat="1" applyFont="1" applyFill="1" applyBorder="1"/>
    <xf numFmtId="0" fontId="23" fillId="0" borderId="0" xfId="0" applyFont="1" applyFill="1" applyBorder="1"/>
    <xf numFmtId="168" fontId="3" fillId="0" borderId="7" xfId="47" applyNumberFormat="1" applyFont="1" applyFill="1" applyBorder="1" applyAlignment="1">
      <alignment horizontal="left"/>
    </xf>
    <xf numFmtId="169" fontId="24" fillId="0" borderId="7" xfId="31" applyNumberFormat="1" applyFont="1" applyFill="1" applyBorder="1"/>
    <xf numFmtId="168" fontId="3" fillId="0" borderId="11" xfId="47" applyNumberFormat="1" applyFont="1" applyFill="1" applyBorder="1" applyAlignment="1"/>
    <xf numFmtId="168" fontId="3" fillId="0" borderId="3" xfId="47" applyNumberFormat="1" applyFont="1" applyFill="1" applyBorder="1" applyAlignment="1"/>
    <xf numFmtId="169" fontId="24" fillId="0" borderId="3" xfId="31" applyNumberFormat="1" applyFont="1" applyFill="1" applyBorder="1"/>
    <xf numFmtId="168" fontId="3" fillId="0" borderId="7" xfId="47" applyNumberFormat="1" applyFont="1" applyFill="1" applyBorder="1" applyAlignment="1"/>
    <xf numFmtId="168" fontId="3" fillId="0" borderId="6" xfId="47" applyNumberFormat="1" applyFont="1" applyFill="1" applyBorder="1" applyAlignment="1">
      <alignment horizontal="left"/>
    </xf>
    <xf numFmtId="0" fontId="23" fillId="33" borderId="3" xfId="0" applyFont="1" applyFill="1" applyBorder="1" applyAlignment="1" applyProtection="1">
      <alignment horizontal="left"/>
      <protection locked="0"/>
    </xf>
    <xf numFmtId="0" fontId="23" fillId="33" borderId="3" xfId="0" applyFont="1" applyFill="1" applyBorder="1" applyAlignment="1" applyProtection="1">
      <alignment horizontal="left"/>
      <protection locked="0"/>
    </xf>
    <xf numFmtId="0" fontId="31" fillId="33" borderId="3" xfId="0" applyFont="1" applyFill="1" applyBorder="1" applyAlignment="1" applyProtection="1">
      <alignment horizontal="left"/>
      <protection locked="0"/>
    </xf>
    <xf numFmtId="0" fontId="23" fillId="33" borderId="3" xfId="0" applyFont="1" applyFill="1" applyBorder="1" applyAlignment="1" applyProtection="1">
      <alignment horizontal="left"/>
      <protection locked="0"/>
    </xf>
    <xf numFmtId="0" fontId="27" fillId="33" borderId="3" xfId="0" applyFont="1" applyFill="1" applyBorder="1" applyAlignment="1" applyProtection="1">
      <alignment horizontal="left"/>
      <protection locked="0"/>
    </xf>
    <xf numFmtId="0" fontId="27" fillId="35" borderId="1" xfId="0" applyFont="1" applyFill="1" applyBorder="1" applyAlignment="1" applyProtection="1">
      <alignment horizontal="left"/>
      <protection locked="0"/>
    </xf>
    <xf numFmtId="0" fontId="27" fillId="35" borderId="2" xfId="0" applyFont="1" applyFill="1" applyBorder="1" applyAlignment="1" applyProtection="1">
      <alignment horizontal="left"/>
      <protection locked="0"/>
    </xf>
    <xf numFmtId="0" fontId="29" fillId="33" borderId="3" xfId="0" applyFont="1" applyFill="1" applyBorder="1" applyAlignment="1" applyProtection="1">
      <alignment horizontal="center"/>
      <protection locked="0"/>
    </xf>
    <xf numFmtId="165" fontId="31" fillId="33" borderId="3" xfId="0" applyNumberFormat="1" applyFont="1" applyFill="1" applyBorder="1" applyAlignment="1" applyProtection="1">
      <alignment horizontal="left"/>
      <protection locked="0"/>
    </xf>
    <xf numFmtId="0" fontId="27" fillId="35" borderId="3" xfId="0" applyFont="1" applyFill="1" applyBorder="1" applyAlignment="1">
      <alignment horizontal="left"/>
    </xf>
    <xf numFmtId="0" fontId="29" fillId="36" borderId="1" xfId="0" applyFont="1" applyFill="1" applyBorder="1" applyAlignment="1">
      <alignment horizontal="center"/>
    </xf>
    <xf numFmtId="0" fontId="29" fillId="36" borderId="12" xfId="0" applyFont="1" applyFill="1" applyBorder="1" applyAlignment="1">
      <alignment horizontal="center"/>
    </xf>
    <xf numFmtId="0" fontId="29" fillId="36" borderId="8" xfId="0" applyFont="1" applyFill="1" applyBorder="1" applyAlignment="1">
      <alignment horizontal="center"/>
    </xf>
    <xf numFmtId="0" fontId="29" fillId="36" borderId="2" xfId="0" applyFont="1" applyFill="1" applyBorder="1" applyAlignment="1">
      <alignment horizontal="center"/>
    </xf>
    <xf numFmtId="0" fontId="27" fillId="35" borderId="1" xfId="0" applyFont="1" applyFill="1" applyBorder="1" applyAlignment="1">
      <alignment horizontal="left"/>
    </xf>
    <xf numFmtId="0" fontId="27" fillId="35" borderId="2" xfId="0" applyFont="1" applyFill="1" applyBorder="1" applyAlignment="1">
      <alignment horizontal="left"/>
    </xf>
    <xf numFmtId="43" fontId="30" fillId="33" borderId="13" xfId="47" applyFont="1" applyFill="1" applyBorder="1" applyAlignment="1">
      <alignment horizontal="right"/>
    </xf>
    <xf numFmtId="43" fontId="30" fillId="33" borderId="14" xfId="47" applyFont="1" applyFill="1" applyBorder="1" applyAlignment="1">
      <alignment horizontal="right"/>
    </xf>
    <xf numFmtId="0" fontId="31" fillId="33" borderId="1" xfId="0" applyFont="1" applyFill="1" applyBorder="1" applyAlignment="1" applyProtection="1">
      <alignment horizontal="left"/>
      <protection locked="0"/>
    </xf>
    <xf numFmtId="0" fontId="31" fillId="33" borderId="12" xfId="0" applyFont="1" applyFill="1" applyBorder="1" applyAlignment="1" applyProtection="1">
      <alignment horizontal="left"/>
      <protection locked="0"/>
    </xf>
    <xf numFmtId="0" fontId="31" fillId="33" borderId="2" xfId="0" applyFont="1" applyFill="1" applyBorder="1" applyAlignment="1" applyProtection="1">
      <alignment horizontal="left"/>
      <protection locked="0"/>
    </xf>
    <xf numFmtId="0" fontId="29" fillId="36" borderId="1" xfId="0" applyFont="1" applyFill="1" applyBorder="1" applyAlignment="1" applyProtection="1">
      <alignment horizontal="center"/>
      <protection locked="0"/>
    </xf>
    <xf numFmtId="0" fontId="29" fillId="36" borderId="12" xfId="0" applyFont="1" applyFill="1" applyBorder="1" applyAlignment="1" applyProtection="1">
      <alignment horizontal="center"/>
      <protection locked="0"/>
    </xf>
    <xf numFmtId="0" fontId="29" fillId="36" borderId="2" xfId="0" applyFont="1" applyFill="1" applyBorder="1" applyAlignment="1" applyProtection="1">
      <alignment horizontal="center"/>
      <protection locked="0"/>
    </xf>
    <xf numFmtId="0" fontId="31" fillId="33" borderId="3" xfId="0" applyFont="1" applyFill="1" applyBorder="1" applyAlignment="1" applyProtection="1">
      <alignment horizontal="left"/>
      <protection locked="0"/>
    </xf>
    <xf numFmtId="49" fontId="23" fillId="33" borderId="3" xfId="0" applyNumberFormat="1" applyFont="1" applyFill="1" applyBorder="1" applyAlignment="1" applyProtection="1">
      <alignment horizontal="left"/>
      <protection locked="0"/>
    </xf>
    <xf numFmtId="14" fontId="23" fillId="33" borderId="3" xfId="0" applyNumberFormat="1" applyFont="1" applyFill="1" applyBorder="1" applyAlignment="1" applyProtection="1">
      <alignment horizontal="left"/>
      <protection locked="0"/>
    </xf>
    <xf numFmtId="0" fontId="28" fillId="35" borderId="3" xfId="0" applyFont="1" applyFill="1" applyBorder="1" applyAlignment="1">
      <alignment horizontal="center"/>
    </xf>
    <xf numFmtId="167" fontId="5" fillId="36" borderId="27" xfId="36" applyNumberFormat="1" applyFont="1" applyFill="1" applyBorder="1" applyAlignment="1">
      <alignment horizontal="center" vertical="center"/>
    </xf>
    <xf numFmtId="167" fontId="5" fillId="36" borderId="28" xfId="36" applyNumberFormat="1" applyFont="1" applyFill="1" applyBorder="1" applyAlignment="1">
      <alignment horizontal="center" vertical="center"/>
    </xf>
    <xf numFmtId="167" fontId="5" fillId="36" borderId="29" xfId="36" applyNumberFormat="1" applyFont="1" applyFill="1" applyBorder="1" applyAlignment="1">
      <alignment horizontal="center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Hiperlink" xfId="48" builtinId="8"/>
    <cellStyle name="Moeda" xfId="31" builtinId="4"/>
    <cellStyle name="Moeda 2" xfId="32" xr:uid="{00000000-0005-0000-0000-000020000000}"/>
    <cellStyle name="Moeda 2 2" xfId="49" xr:uid="{00000000-0005-0000-0000-000021000000}"/>
    <cellStyle name="Neutro" xfId="33" builtinId="28" customBuiltin="1"/>
    <cellStyle name="Normal" xfId="0" builtinId="0"/>
    <cellStyle name="Normal 12" xfId="34" xr:uid="{00000000-0005-0000-0000-000024000000}"/>
    <cellStyle name="Normal 13" xfId="35" xr:uid="{00000000-0005-0000-0000-000025000000}"/>
    <cellStyle name="Normal 2" xfId="36" xr:uid="{00000000-0005-0000-0000-000026000000}"/>
    <cellStyle name="Normal 2 2" xfId="50" xr:uid="{00000000-0005-0000-0000-000027000000}"/>
    <cellStyle name="Nota" xfId="37" builtinId="10" customBuiltin="1"/>
    <cellStyle name="Ruim" xfId="30" builtinId="27" customBuiltin="1"/>
    <cellStyle name="Saída" xfId="38" builtinId="21" customBuiltin="1"/>
    <cellStyle name="Texto de Aviso" xfId="39" builtinId="11" customBuiltin="1"/>
    <cellStyle name="Texto Explicativo" xfId="40" builtinId="53" customBuiltin="1"/>
    <cellStyle name="Título" xfId="41" builtinId="15" customBuiltin="1"/>
    <cellStyle name="Título 1" xfId="42" builtinId="16" customBuiltin="1"/>
    <cellStyle name="Título 2" xfId="43" builtinId="17" customBuiltin="1"/>
    <cellStyle name="Título 3" xfId="44" builtinId="18" customBuiltin="1"/>
    <cellStyle name="Título 4" xfId="45" builtinId="19" customBuiltin="1"/>
    <cellStyle name="Total" xfId="46" builtinId="25" customBuiltin="1"/>
    <cellStyle name="Vírgula" xfId="47" builtinId="3"/>
    <cellStyle name="Vírgula 2" xfId="51" xr:uid="{00000000-0005-0000-0000-00003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591052</xdr:colOff>
      <xdr:row>6</xdr:row>
      <xdr:rowOff>148891</xdr:rowOff>
    </xdr:from>
    <xdr:to>
      <xdr:col>24</xdr:col>
      <xdr:colOff>554455</xdr:colOff>
      <xdr:row>9</xdr:row>
      <xdr:rowOff>99261</xdr:rowOff>
    </xdr:to>
    <xdr:pic>
      <xdr:nvPicPr>
        <xdr:cNvPr id="1115" name="Imagem 1" descr="cid:image001.png@01D17860.E97668E0">
          <a:extLst>
            <a:ext uri="{FF2B5EF4-FFF2-40B4-BE49-F238E27FC236}">
              <a16:creationId xmlns:a16="http://schemas.microsoft.com/office/drawing/2014/main" id="{E626A1C2-0BC5-4B6D-BC92-6B687311C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26552" y="1281865"/>
          <a:ext cx="1186614" cy="511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43"/>
  <sheetViews>
    <sheetView showWhiteSpace="0" zoomScale="95" zoomScaleNormal="95" workbookViewId="0">
      <selection activeCell="D9" sqref="D9"/>
    </sheetView>
  </sheetViews>
  <sheetFormatPr defaultColWidth="9.140625" defaultRowHeight="14.25" x14ac:dyDescent="0.2"/>
  <cols>
    <col min="1" max="1" width="2.85546875" style="55" customWidth="1"/>
    <col min="2" max="2" width="7.42578125" style="55" bestFit="1" customWidth="1"/>
    <col min="3" max="3" width="10.7109375" style="55" customWidth="1"/>
    <col min="4" max="4" width="50.5703125" style="55" bestFit="1" customWidth="1"/>
    <col min="5" max="5" width="9.42578125" style="55" customWidth="1"/>
    <col min="6" max="6" width="13.85546875" style="55" bestFit="1" customWidth="1"/>
    <col min="7" max="7" width="15.85546875" style="55" customWidth="1"/>
    <col min="8" max="8" width="14.42578125" style="55" customWidth="1"/>
    <col min="9" max="9" width="3.5703125" style="55" customWidth="1"/>
    <col min="10" max="10" width="17.85546875" style="55" bestFit="1" customWidth="1"/>
    <col min="11" max="12" width="13.85546875" style="55" bestFit="1" customWidth="1"/>
    <col min="13" max="16384" width="9.140625" style="55"/>
  </cols>
  <sheetData>
    <row r="1" spans="1:26" ht="18" x14ac:dyDescent="0.25">
      <c r="A1" s="50" t="s">
        <v>28</v>
      </c>
      <c r="B1" s="51" t="s">
        <v>168</v>
      </c>
      <c r="C1" s="52"/>
      <c r="D1" s="141" t="s">
        <v>29</v>
      </c>
      <c r="E1" s="142"/>
      <c r="F1" s="143"/>
      <c r="G1" s="53" t="s">
        <v>1</v>
      </c>
      <c r="H1" s="80"/>
      <c r="I1" s="50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spans="1:26" ht="7.5" customHeight="1" x14ac:dyDescent="0.2">
      <c r="A2" s="50"/>
      <c r="B2" s="56"/>
      <c r="C2" s="57"/>
      <c r="D2" s="58"/>
      <c r="E2" s="59"/>
      <c r="F2" s="59"/>
      <c r="G2" s="60"/>
      <c r="H2" s="60"/>
      <c r="I2" s="50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spans="1:26" ht="18" x14ac:dyDescent="0.25">
      <c r="A3" s="50"/>
      <c r="B3" s="61"/>
      <c r="C3" s="62"/>
      <c r="D3" s="63" t="s">
        <v>24</v>
      </c>
      <c r="E3" s="127" t="s">
        <v>25</v>
      </c>
      <c r="F3" s="127"/>
      <c r="G3" s="127"/>
      <c r="H3" s="127"/>
      <c r="I3" s="50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spans="1:26" ht="15" customHeight="1" x14ac:dyDescent="0.2">
      <c r="A4" s="50"/>
      <c r="B4" s="129" t="s">
        <v>7</v>
      </c>
      <c r="C4" s="129"/>
      <c r="D4" s="78" t="s">
        <v>667</v>
      </c>
      <c r="E4" s="125" t="s">
        <v>0</v>
      </c>
      <c r="F4" s="126"/>
      <c r="G4" s="128"/>
      <c r="H4" s="128"/>
      <c r="I4" s="50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spans="1:26" ht="15" customHeight="1" x14ac:dyDescent="0.2">
      <c r="A5" s="50"/>
      <c r="B5" s="129" t="s">
        <v>5</v>
      </c>
      <c r="C5" s="129"/>
      <c r="D5" s="89"/>
      <c r="E5" s="125" t="s">
        <v>23</v>
      </c>
      <c r="F5" s="126"/>
      <c r="G5" s="145"/>
      <c r="H5" s="145"/>
      <c r="I5" s="50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spans="1:26" ht="15" customHeight="1" x14ac:dyDescent="0.2">
      <c r="A6" s="50"/>
      <c r="B6" s="129" t="s">
        <v>6</v>
      </c>
      <c r="C6" s="129"/>
      <c r="D6" s="88"/>
      <c r="E6" s="125" t="s">
        <v>2</v>
      </c>
      <c r="F6" s="126"/>
      <c r="G6" s="146"/>
      <c r="H6" s="146"/>
      <c r="I6" s="50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26" x14ac:dyDescent="0.2">
      <c r="A7" s="50"/>
      <c r="B7" s="50"/>
      <c r="C7" s="50"/>
      <c r="D7" s="58"/>
      <c r="E7" s="125" t="s">
        <v>3</v>
      </c>
      <c r="F7" s="126"/>
      <c r="G7" s="144"/>
      <c r="H7" s="144"/>
      <c r="I7" s="50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spans="1:26" ht="15" customHeight="1" x14ac:dyDescent="0.2">
      <c r="A8" s="50"/>
      <c r="B8" s="129" t="s">
        <v>8</v>
      </c>
      <c r="C8" s="129"/>
      <c r="D8" s="121"/>
      <c r="E8" s="58"/>
      <c r="F8" s="97" t="s">
        <v>167</v>
      </c>
      <c r="G8" s="100"/>
      <c r="H8" s="58"/>
      <c r="I8" s="50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spans="1:26" ht="15" customHeight="1" x14ac:dyDescent="0.2">
      <c r="A9" s="50"/>
      <c r="B9" s="129" t="s">
        <v>9</v>
      </c>
      <c r="C9" s="129"/>
      <c r="D9" s="121"/>
      <c r="E9" s="58"/>
      <c r="F9" s="58"/>
      <c r="G9" s="58"/>
      <c r="H9" s="58"/>
      <c r="I9" s="50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spans="1:26" ht="9.75" customHeight="1" x14ac:dyDescent="0.2">
      <c r="A10" s="50"/>
      <c r="B10" s="50"/>
      <c r="C10" s="50"/>
      <c r="D10" s="58"/>
      <c r="E10" s="58"/>
      <c r="F10" s="58"/>
      <c r="G10" s="58"/>
      <c r="H10" s="58"/>
      <c r="I10" s="50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spans="1:26" ht="15" customHeight="1" x14ac:dyDescent="0.2">
      <c r="A11" s="50"/>
      <c r="B11" s="129" t="s">
        <v>10</v>
      </c>
      <c r="C11" s="129"/>
      <c r="D11" s="120"/>
      <c r="E11" s="125" t="s">
        <v>15</v>
      </c>
      <c r="F11" s="126"/>
      <c r="G11" s="123"/>
      <c r="H11" s="124"/>
      <c r="I11" s="50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spans="1:26" ht="15" customHeight="1" x14ac:dyDescent="0.2">
      <c r="A12" s="50"/>
      <c r="B12" s="129" t="s">
        <v>11</v>
      </c>
      <c r="C12" s="129"/>
      <c r="D12" s="120"/>
      <c r="E12" s="125" t="s">
        <v>12</v>
      </c>
      <c r="F12" s="126"/>
      <c r="G12" s="123"/>
      <c r="H12" s="124"/>
      <c r="I12" s="50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spans="1:26" ht="15" customHeight="1" x14ac:dyDescent="0.2">
      <c r="A13" s="50"/>
      <c r="B13" s="129" t="s">
        <v>13</v>
      </c>
      <c r="C13" s="129"/>
      <c r="D13" s="93"/>
      <c r="E13" s="125" t="s">
        <v>170</v>
      </c>
      <c r="F13" s="126"/>
      <c r="G13" s="123"/>
      <c r="H13" s="124"/>
      <c r="I13" s="50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6" ht="15" customHeight="1" x14ac:dyDescent="0.2">
      <c r="A14" s="50"/>
      <c r="B14" s="129" t="s">
        <v>14</v>
      </c>
      <c r="C14" s="129"/>
      <c r="D14" s="93"/>
      <c r="E14" s="125" t="s">
        <v>17</v>
      </c>
      <c r="F14" s="126"/>
      <c r="G14" s="123"/>
      <c r="H14" s="124"/>
      <c r="I14" s="50"/>
      <c r="J14" s="54"/>
      <c r="K14" s="54"/>
      <c r="L14" s="87" t="s">
        <v>28</v>
      </c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spans="1:26" ht="15" customHeight="1" x14ac:dyDescent="0.25">
      <c r="A15" s="50"/>
      <c r="B15" s="129" t="s">
        <v>16</v>
      </c>
      <c r="C15" s="129"/>
      <c r="D15" s="90"/>
      <c r="E15" s="58"/>
      <c r="F15" s="58"/>
      <c r="G15" s="58"/>
      <c r="H15" s="58"/>
      <c r="I15" s="50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spans="1:26" ht="7.5" customHeight="1" x14ac:dyDescent="0.2">
      <c r="A16" s="50"/>
      <c r="B16" s="50"/>
      <c r="C16" s="50"/>
      <c r="D16" s="50"/>
      <c r="E16" s="50"/>
      <c r="F16" s="50"/>
      <c r="G16" s="50"/>
      <c r="H16" s="50"/>
      <c r="I16" s="50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spans="1:26" ht="15" x14ac:dyDescent="0.2">
      <c r="A17" s="50"/>
      <c r="B17" s="129" t="s">
        <v>4</v>
      </c>
      <c r="C17" s="129"/>
      <c r="D17" s="122"/>
      <c r="E17" s="64"/>
      <c r="F17" s="65" t="s">
        <v>27</v>
      </c>
      <c r="G17" s="147" t="s">
        <v>30</v>
      </c>
      <c r="H17" s="147"/>
      <c r="I17" s="50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spans="1:26" ht="15" x14ac:dyDescent="0.2">
      <c r="A18" s="50"/>
      <c r="B18" s="134" t="s">
        <v>22</v>
      </c>
      <c r="C18" s="135"/>
      <c r="D18" s="77"/>
      <c r="E18" s="64"/>
      <c r="F18" s="66">
        <f>COUNTA(B23:B184)</f>
        <v>0</v>
      </c>
      <c r="G18" s="136">
        <f>SUM(H23:H3874)</f>
        <v>0</v>
      </c>
      <c r="H18" s="137"/>
      <c r="I18" s="50"/>
      <c r="J18" s="54"/>
      <c r="K18" s="79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spans="1:26" ht="15" customHeight="1" x14ac:dyDescent="0.2">
      <c r="A19" s="50"/>
      <c r="B19" s="134" t="s">
        <v>169</v>
      </c>
      <c r="C19" s="135"/>
      <c r="D19" s="138"/>
      <c r="E19" s="139"/>
      <c r="F19" s="139"/>
      <c r="G19" s="139"/>
      <c r="H19" s="140"/>
      <c r="I19" s="50"/>
      <c r="J19" s="54"/>
      <c r="K19" s="79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spans="1:26" ht="9" customHeight="1" x14ac:dyDescent="0.2">
      <c r="A20" s="50"/>
      <c r="B20" s="50"/>
      <c r="C20" s="50"/>
      <c r="D20" s="50"/>
      <c r="E20" s="50"/>
      <c r="F20" s="50"/>
      <c r="G20" s="67"/>
      <c r="H20" s="67"/>
      <c r="I20" s="50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spans="1:26" ht="18" x14ac:dyDescent="0.25">
      <c r="A21" s="50"/>
      <c r="B21" s="130"/>
      <c r="C21" s="131"/>
      <c r="D21" s="132"/>
      <c r="E21" s="132"/>
      <c r="F21" s="131"/>
      <c r="G21" s="131"/>
      <c r="H21" s="133"/>
      <c r="I21" s="50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spans="1:26" x14ac:dyDescent="0.2">
      <c r="A22" s="50"/>
      <c r="B22" s="98" t="s">
        <v>869</v>
      </c>
      <c r="C22" s="69" t="s">
        <v>18</v>
      </c>
      <c r="D22" s="99" t="s">
        <v>870</v>
      </c>
      <c r="E22" s="70"/>
      <c r="F22" s="71" t="s">
        <v>26</v>
      </c>
      <c r="G22" s="68" t="s">
        <v>20</v>
      </c>
      <c r="H22" s="68" t="s">
        <v>21</v>
      </c>
      <c r="I22" s="50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spans="1:26" x14ac:dyDescent="0.2">
      <c r="A23" s="64"/>
      <c r="B23" s="95"/>
      <c r="C23" s="101"/>
      <c r="D23" s="72" t="str">
        <f>IF(B23=0," ",VLOOKUP(C23,Tabela!$A$3:$D$653,2,FALSE))</f>
        <v xml:space="preserve"> </v>
      </c>
      <c r="E23" s="73"/>
      <c r="F23" s="74">
        <f>IF(B23=0,0,VLOOKUP(C23,Tabela!$A$3:$D$653,4,FALSE))</f>
        <v>0</v>
      </c>
      <c r="G23" s="75">
        <f>IF(B23=0,0,VLOOKUP(C23,Tabela!$A$3:$D$653,3,FALSE))*IF($G$7="A VISTA",(100-$G$8)/100,1)</f>
        <v>0</v>
      </c>
      <c r="H23" s="76">
        <f t="shared" ref="H23:H75" si="0">B23*G23</f>
        <v>0</v>
      </c>
      <c r="I23" s="6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spans="1:26" x14ac:dyDescent="0.2">
      <c r="A24" s="64"/>
      <c r="B24" s="95"/>
      <c r="C24" s="96"/>
      <c r="D24" s="72" t="str">
        <f>IF(B24=0," ",VLOOKUP(C24,Tabela!$A$3:$D$653,2,FALSE))</f>
        <v xml:space="preserve"> </v>
      </c>
      <c r="E24" s="73"/>
      <c r="F24" s="74">
        <f>IF(B24=0,0,VLOOKUP(C24,Tabela!$A$3:$D$653,4,FALSE))</f>
        <v>0</v>
      </c>
      <c r="G24" s="75">
        <f>IF(B24=0,0,VLOOKUP(C24,Tabela!$A$3:$D$653,3,FALSE))*IF($G$7="A VISTA",(100-$G$8)/100,1)</f>
        <v>0</v>
      </c>
      <c r="H24" s="76">
        <f t="shared" si="0"/>
        <v>0</v>
      </c>
      <c r="I24" s="6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spans="1:26" x14ac:dyDescent="0.2">
      <c r="A25" s="64"/>
      <c r="B25" s="95"/>
      <c r="C25" s="96"/>
      <c r="D25" s="72" t="str">
        <f>IF(B25=0," ",VLOOKUP(C25,Tabela!$A$3:$D$653,2,FALSE))</f>
        <v xml:space="preserve"> </v>
      </c>
      <c r="E25" s="73"/>
      <c r="F25" s="74">
        <f>IF(B25=0,0,VLOOKUP(C25,Tabela!$A$3:$D$653,4,FALSE))</f>
        <v>0</v>
      </c>
      <c r="G25" s="75">
        <f>IF(B25=0,0,VLOOKUP(C25,Tabela!$A$3:$D$653,3,FALSE))*IF($G$7="A VISTA",(100-$G$8)/100,1)</f>
        <v>0</v>
      </c>
      <c r="H25" s="76">
        <f t="shared" si="0"/>
        <v>0</v>
      </c>
      <c r="I25" s="6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spans="1:26" x14ac:dyDescent="0.2">
      <c r="A26" s="64"/>
      <c r="B26" s="95"/>
      <c r="C26" s="96"/>
      <c r="D26" s="72" t="str">
        <f>IF(B26=0," ",VLOOKUP(C26,Tabela!$A$3:$D$653,2,FALSE))</f>
        <v xml:space="preserve"> </v>
      </c>
      <c r="E26" s="73"/>
      <c r="F26" s="74">
        <f>IF(B26=0,0,VLOOKUP(C26,Tabela!$A$3:$D$653,4,FALSE))</f>
        <v>0</v>
      </c>
      <c r="G26" s="75">
        <f>IF(B26=0,0,VLOOKUP(C26,Tabela!$A$3:$D$653,3,FALSE))*IF($G$7="A VISTA",(100-$G$8)/100,1)</f>
        <v>0</v>
      </c>
      <c r="H26" s="76">
        <f t="shared" si="0"/>
        <v>0</v>
      </c>
      <c r="I26" s="6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spans="1:26" x14ac:dyDescent="0.2">
      <c r="A27" s="64"/>
      <c r="B27" s="95"/>
      <c r="C27" s="96"/>
      <c r="D27" s="72" t="str">
        <f>IF(B27=0," ",VLOOKUP(C27,Tabela!$A$3:$D$653,2,FALSE))</f>
        <v xml:space="preserve"> </v>
      </c>
      <c r="E27" s="73"/>
      <c r="F27" s="74">
        <f>IF(B27=0,0,VLOOKUP(C27,Tabela!$A$3:$D$653,4,FALSE))</f>
        <v>0</v>
      </c>
      <c r="G27" s="75">
        <f>IF(B27=0,0,VLOOKUP(C27,Tabela!$A$3:$D$653,3,FALSE))*IF($G$7="A VISTA",(100-$G$8)/100,1)</f>
        <v>0</v>
      </c>
      <c r="H27" s="76">
        <f t="shared" si="0"/>
        <v>0</v>
      </c>
      <c r="I27" s="6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spans="1:26" x14ac:dyDescent="0.2">
      <c r="A28" s="64"/>
      <c r="B28" s="95"/>
      <c r="C28" s="96"/>
      <c r="D28" s="72" t="str">
        <f>IF(B28=0," ",VLOOKUP(C28,Tabela!$A$3:$D$653,2,FALSE))</f>
        <v xml:space="preserve"> </v>
      </c>
      <c r="E28" s="73"/>
      <c r="F28" s="74">
        <f>IF(B28=0,0,VLOOKUP(C28,Tabela!$A$3:$D$653,4,FALSE))</f>
        <v>0</v>
      </c>
      <c r="G28" s="75">
        <f>IF(B28=0,0,VLOOKUP(C28,Tabela!$A$3:$D$653,3,FALSE))*IF($G$7="A VISTA",(100-$G$8)/100,1)</f>
        <v>0</v>
      </c>
      <c r="H28" s="76">
        <f t="shared" si="0"/>
        <v>0</v>
      </c>
      <c r="I28" s="6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spans="1:26" x14ac:dyDescent="0.2">
      <c r="A29" s="64"/>
      <c r="B29" s="95"/>
      <c r="C29" s="96"/>
      <c r="D29" s="72" t="str">
        <f>IF(B29=0," ",VLOOKUP(C29,Tabela!$A$3:$D$653,2,FALSE))</f>
        <v xml:space="preserve"> </v>
      </c>
      <c r="E29" s="73"/>
      <c r="F29" s="74">
        <f>IF(B29=0,0,VLOOKUP(C29,Tabela!$A$3:$D$653,4,FALSE))</f>
        <v>0</v>
      </c>
      <c r="G29" s="75">
        <f>IF(B29=0,0,VLOOKUP(C29,Tabela!$A$3:$D$653,3,FALSE))*IF($G$7="A VISTA",(100-$G$8)/100,1)</f>
        <v>0</v>
      </c>
      <c r="H29" s="76">
        <f t="shared" si="0"/>
        <v>0</v>
      </c>
      <c r="I29" s="6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spans="1:26" x14ac:dyDescent="0.2">
      <c r="A30" s="64"/>
      <c r="B30" s="95"/>
      <c r="C30" s="96"/>
      <c r="D30" s="72" t="str">
        <f>IF(B30=0," ",VLOOKUP(C30,Tabela!$A$3:$D$653,2,FALSE))</f>
        <v xml:space="preserve"> </v>
      </c>
      <c r="E30" s="73"/>
      <c r="F30" s="74">
        <f>IF(B30=0,0,VLOOKUP(C30,Tabela!$A$3:$D$653,4,FALSE))</f>
        <v>0</v>
      </c>
      <c r="G30" s="75">
        <f>IF(B30=0,0,VLOOKUP(C30,Tabela!$A$3:$D$653,3,FALSE))*IF($G$7="A VISTA",(100-$G$8)/100,1)</f>
        <v>0</v>
      </c>
      <c r="H30" s="76">
        <f t="shared" si="0"/>
        <v>0</v>
      </c>
      <c r="I30" s="6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spans="1:26" x14ac:dyDescent="0.2">
      <c r="A31" s="64"/>
      <c r="B31" s="95"/>
      <c r="C31" s="96"/>
      <c r="D31" s="72" t="str">
        <f>IF(B31=0," ",VLOOKUP(C31,Tabela!$A$3:$D$653,2,FALSE))</f>
        <v xml:space="preserve"> </v>
      </c>
      <c r="E31" s="73"/>
      <c r="F31" s="74">
        <f>IF(B31=0,0,VLOOKUP(C31,Tabela!$A$3:$D$653,4,FALSE))</f>
        <v>0</v>
      </c>
      <c r="G31" s="75">
        <f>IF(B31=0,0,VLOOKUP(C31,Tabela!$A$3:$D$653,3,FALSE))*IF($G$7="A VISTA",(100-$G$8)/100,1)</f>
        <v>0</v>
      </c>
      <c r="H31" s="76">
        <f t="shared" si="0"/>
        <v>0</v>
      </c>
      <c r="I31" s="6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spans="1:26" x14ac:dyDescent="0.2">
      <c r="A32" s="64"/>
      <c r="B32" s="95"/>
      <c r="C32" s="96"/>
      <c r="D32" s="72" t="str">
        <f>IF(B32=0," ",VLOOKUP(C32,Tabela!$A$3:$D$653,2,FALSE))</f>
        <v xml:space="preserve"> </v>
      </c>
      <c r="E32" s="73"/>
      <c r="F32" s="74">
        <f>IF(B32=0,0,VLOOKUP(C32,Tabela!$A$3:$D$653,4,FALSE))</f>
        <v>0</v>
      </c>
      <c r="G32" s="75">
        <f>IF(B32=0,0,VLOOKUP(C32,Tabela!$A$3:$D$653,3,FALSE))*IF($G$7="A VISTA",(100-$G$8)/100,1)</f>
        <v>0</v>
      </c>
      <c r="H32" s="76">
        <f t="shared" si="0"/>
        <v>0</v>
      </c>
      <c r="I32" s="6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spans="1:26" x14ac:dyDescent="0.2">
      <c r="A33" s="64"/>
      <c r="B33" s="95"/>
      <c r="C33" s="96"/>
      <c r="D33" s="72" t="str">
        <f>IF(B33=0," ",VLOOKUP(C33,Tabela!$A$3:$D$653,2,FALSE))</f>
        <v xml:space="preserve"> </v>
      </c>
      <c r="E33" s="73"/>
      <c r="F33" s="74">
        <f>IF(B33=0,0,VLOOKUP(C33,Tabela!$A$3:$D$653,4,FALSE))</f>
        <v>0</v>
      </c>
      <c r="G33" s="75">
        <f>IF(B33=0,0,VLOOKUP(C33,Tabela!$A$3:$D$653,3,FALSE))*IF($G$7="A VISTA",(100-$G$8)/100,1)</f>
        <v>0</v>
      </c>
      <c r="H33" s="76">
        <f t="shared" si="0"/>
        <v>0</v>
      </c>
      <c r="I33" s="6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spans="1:26" x14ac:dyDescent="0.2">
      <c r="A34" s="64"/>
      <c r="B34" s="95"/>
      <c r="C34" s="96"/>
      <c r="D34" s="72" t="str">
        <f>IF(B34=0," ",VLOOKUP(C34,Tabela!$A$3:$D$653,2,FALSE))</f>
        <v xml:space="preserve"> </v>
      </c>
      <c r="E34" s="73"/>
      <c r="F34" s="74">
        <f>IF(B34=0,0,VLOOKUP(C34,Tabela!$A$3:$D$653,4,FALSE))</f>
        <v>0</v>
      </c>
      <c r="G34" s="75">
        <f>IF(B34=0,0,VLOOKUP(C34,Tabela!$A$3:$D$653,3,FALSE))*IF($G$7="A VISTA",(100-$G$8)/100,1)</f>
        <v>0</v>
      </c>
      <c r="H34" s="76">
        <f t="shared" si="0"/>
        <v>0</v>
      </c>
      <c r="I34" s="6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spans="1:26" x14ac:dyDescent="0.2">
      <c r="A35" s="64"/>
      <c r="B35" s="95"/>
      <c r="C35" s="96"/>
      <c r="D35" s="72" t="str">
        <f>IF(B35=0," ",VLOOKUP(C35,Tabela!$A$3:$D$653,2,FALSE))</f>
        <v xml:space="preserve"> </v>
      </c>
      <c r="E35" s="73"/>
      <c r="F35" s="74">
        <f>IF(B35=0,0,VLOOKUP(C35,Tabela!$A$3:$D$653,4,FALSE))</f>
        <v>0</v>
      </c>
      <c r="G35" s="75">
        <f>IF(B35=0,0,VLOOKUP(C35,Tabela!$A$3:$D$653,3,FALSE))*IF($G$7="A VISTA",(100-$G$8)/100,1)</f>
        <v>0</v>
      </c>
      <c r="H35" s="76">
        <f t="shared" si="0"/>
        <v>0</v>
      </c>
      <c r="I35" s="6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spans="1:26" x14ac:dyDescent="0.2">
      <c r="A36" s="64"/>
      <c r="B36" s="95"/>
      <c r="C36" s="96"/>
      <c r="D36" s="72" t="str">
        <f>IF(B36=0," ",VLOOKUP(C36,Tabela!$A$3:$D$653,2,FALSE))</f>
        <v xml:space="preserve"> </v>
      </c>
      <c r="E36" s="73"/>
      <c r="F36" s="74">
        <f>IF(B36=0,0,VLOOKUP(C36,Tabela!$A$3:$D$653,4,FALSE))</f>
        <v>0</v>
      </c>
      <c r="G36" s="75">
        <f>IF(B36=0,0,VLOOKUP(C36,Tabela!$A$3:$D$653,3,FALSE))*IF($G$7="A VISTA",(100-$G$8)/100,1)</f>
        <v>0</v>
      </c>
      <c r="H36" s="76">
        <f t="shared" si="0"/>
        <v>0</v>
      </c>
      <c r="I36" s="6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spans="1:26" x14ac:dyDescent="0.2">
      <c r="A37" s="64"/>
      <c r="B37" s="95"/>
      <c r="C37" s="96"/>
      <c r="D37" s="72" t="str">
        <f>IF(B37=0," ",VLOOKUP(C37,Tabela!$A$3:$D$653,2,FALSE))</f>
        <v xml:space="preserve"> </v>
      </c>
      <c r="E37" s="73"/>
      <c r="F37" s="74">
        <f>IF(B37=0,0,VLOOKUP(C37,Tabela!$A$3:$D$653,4,FALSE))</f>
        <v>0</v>
      </c>
      <c r="G37" s="75">
        <f>IF(B37=0,0,VLOOKUP(C37,Tabela!$A$3:$D$653,3,FALSE))*IF($G$7="A VISTA",(100-$G$8)/100,1)</f>
        <v>0</v>
      </c>
      <c r="H37" s="76">
        <f t="shared" si="0"/>
        <v>0</v>
      </c>
      <c r="I37" s="6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spans="1:26" x14ac:dyDescent="0.2">
      <c r="A38" s="64"/>
      <c r="B38" s="95"/>
      <c r="C38" s="96"/>
      <c r="D38" s="72" t="str">
        <f>IF(B38=0," ",VLOOKUP(C38,Tabela!$A$3:$D$653,2,FALSE))</f>
        <v xml:space="preserve"> </v>
      </c>
      <c r="E38" s="73"/>
      <c r="F38" s="74">
        <f>IF(B38=0,0,VLOOKUP(C38,Tabela!$A$3:$D$653,4,FALSE))</f>
        <v>0</v>
      </c>
      <c r="G38" s="75">
        <f>IF(B38=0,0,VLOOKUP(C38,Tabela!$A$3:$D$653,3,FALSE))*IF($G$7="A VISTA",(100-$G$8)/100,1)</f>
        <v>0</v>
      </c>
      <c r="H38" s="76">
        <f t="shared" si="0"/>
        <v>0</v>
      </c>
      <c r="I38" s="6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spans="1:26" x14ac:dyDescent="0.2">
      <c r="A39" s="64"/>
      <c r="B39" s="95"/>
      <c r="C39" s="96"/>
      <c r="D39" s="72" t="str">
        <f>IF(B39=0," ",VLOOKUP(C39,Tabela!$A$3:$D$653,2,FALSE))</f>
        <v xml:space="preserve"> </v>
      </c>
      <c r="E39" s="73"/>
      <c r="F39" s="74">
        <f>IF(B39=0,0,VLOOKUP(C39,Tabela!$A$3:$D$653,4,FALSE))</f>
        <v>0</v>
      </c>
      <c r="G39" s="75">
        <f>IF(B39=0,0,VLOOKUP(C39,Tabela!$A$3:$D$653,3,FALSE))*IF($G$7="A VISTA",(100-$G$8)/100,1)</f>
        <v>0</v>
      </c>
      <c r="H39" s="76">
        <f t="shared" si="0"/>
        <v>0</v>
      </c>
      <c r="I39" s="6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spans="1:26" x14ac:dyDescent="0.2">
      <c r="A40" s="64"/>
      <c r="B40" s="95"/>
      <c r="C40" s="96"/>
      <c r="D40" s="72" t="str">
        <f>IF(B40=0," ",VLOOKUP(C40,Tabela!$A$3:$D$653,2,FALSE))</f>
        <v xml:space="preserve"> </v>
      </c>
      <c r="E40" s="73"/>
      <c r="F40" s="74">
        <f>IF(B40=0,0,VLOOKUP(C40,Tabela!$A$3:$D$653,4,FALSE))</f>
        <v>0</v>
      </c>
      <c r="G40" s="75">
        <f>IF(B40=0,0,VLOOKUP(C40,Tabela!$A$3:$D$653,3,FALSE))*IF($G$7="A VISTA",(100-$G$8)/100,1)</f>
        <v>0</v>
      </c>
      <c r="H40" s="76">
        <f t="shared" si="0"/>
        <v>0</v>
      </c>
      <c r="I40" s="6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spans="1:26" x14ac:dyDescent="0.2">
      <c r="A41" s="64"/>
      <c r="B41" s="95"/>
      <c r="C41" s="96"/>
      <c r="D41" s="72" t="str">
        <f>IF(B41=0," ",VLOOKUP(C41,Tabela!$A$3:$D$653,2,FALSE))</f>
        <v xml:space="preserve"> </v>
      </c>
      <c r="E41" s="73"/>
      <c r="F41" s="74">
        <f>IF(B41=0,0,VLOOKUP(C41,Tabela!$A$3:$D$653,4,FALSE))</f>
        <v>0</v>
      </c>
      <c r="G41" s="75">
        <f>IF(B41=0,0,VLOOKUP(C41,Tabela!$A$3:$D$653,3,FALSE))*IF($G$7="A VISTA",(100-$G$8)/100,1)</f>
        <v>0</v>
      </c>
      <c r="H41" s="76">
        <f t="shared" si="0"/>
        <v>0</v>
      </c>
      <c r="I41" s="6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spans="1:26" x14ac:dyDescent="0.2">
      <c r="A42" s="64"/>
      <c r="B42" s="95"/>
      <c r="C42" s="96"/>
      <c r="D42" s="72" t="str">
        <f>IF(B42=0," ",VLOOKUP(C42,Tabela!$A$3:$D$653,2,FALSE))</f>
        <v xml:space="preserve"> </v>
      </c>
      <c r="E42" s="73"/>
      <c r="F42" s="74">
        <f>IF(B42=0,0,VLOOKUP(C42,Tabela!$A$3:$D$653,4,FALSE))</f>
        <v>0</v>
      </c>
      <c r="G42" s="75">
        <f>IF(B42=0,0,VLOOKUP(C42,Tabela!$A$3:$D$653,3,FALSE))*IF($G$7="A VISTA",(100-$G$8)/100,1)</f>
        <v>0</v>
      </c>
      <c r="H42" s="76">
        <f t="shared" si="0"/>
        <v>0</v>
      </c>
      <c r="I42" s="6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spans="1:26" x14ac:dyDescent="0.2">
      <c r="A43" s="64"/>
      <c r="B43" s="95"/>
      <c r="C43" s="96"/>
      <c r="D43" s="72" t="str">
        <f>IF(B43=0," ",VLOOKUP(C43,Tabela!$A$3:$D$653,2,FALSE))</f>
        <v xml:space="preserve"> </v>
      </c>
      <c r="E43" s="73"/>
      <c r="F43" s="74">
        <f>IF(B43=0,0,VLOOKUP(C43,Tabela!$A$3:$D$653,4,FALSE))</f>
        <v>0</v>
      </c>
      <c r="G43" s="75">
        <f>IF(B43=0,0,VLOOKUP(C43,Tabela!$A$3:$D$653,3,FALSE))*IF($G$7="A VISTA",(100-$G$8)/100,1)</f>
        <v>0</v>
      </c>
      <c r="H43" s="76">
        <f t="shared" si="0"/>
        <v>0</v>
      </c>
      <c r="I43" s="6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spans="1:26" x14ac:dyDescent="0.2">
      <c r="A44" s="64"/>
      <c r="B44" s="95"/>
      <c r="C44" s="96"/>
      <c r="D44" s="72" t="str">
        <f>IF(B44=0," ",VLOOKUP(C44,Tabela!$A$3:$D$653,2,FALSE))</f>
        <v xml:space="preserve"> </v>
      </c>
      <c r="E44" s="73"/>
      <c r="F44" s="74">
        <f>IF(B44=0,0,VLOOKUP(C44,Tabela!$A$3:$D$653,4,FALSE))</f>
        <v>0</v>
      </c>
      <c r="G44" s="75">
        <f>IF(B44=0,0,VLOOKUP(C44,Tabela!$A$3:$D$653,3,FALSE))*IF($G$7="A VISTA",(100-$G$8)/100,1)</f>
        <v>0</v>
      </c>
      <c r="H44" s="76">
        <f t="shared" si="0"/>
        <v>0</v>
      </c>
      <c r="I44" s="6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26" x14ac:dyDescent="0.2">
      <c r="A45" s="64"/>
      <c r="B45" s="95"/>
      <c r="C45" s="96"/>
      <c r="D45" s="72" t="str">
        <f>IF(B45=0," ",VLOOKUP(C45,Tabela!$A$3:$D$653,2,FALSE))</f>
        <v xml:space="preserve"> </v>
      </c>
      <c r="E45" s="73"/>
      <c r="F45" s="74">
        <f>IF(B45=0,0,VLOOKUP(C45,Tabela!$A$3:$D$653,4,FALSE))</f>
        <v>0</v>
      </c>
      <c r="G45" s="75">
        <f>IF(B45=0,0,VLOOKUP(C45,Tabela!$A$3:$D$653,3,FALSE))*IF($G$7="A VISTA",(100-$G$8)/100,1)</f>
        <v>0</v>
      </c>
      <c r="H45" s="76">
        <f t="shared" si="0"/>
        <v>0</v>
      </c>
      <c r="I45" s="6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spans="1:26" x14ac:dyDescent="0.2">
      <c r="A46" s="64"/>
      <c r="B46" s="95"/>
      <c r="C46" s="96"/>
      <c r="D46" s="72" t="str">
        <f>IF(B46=0," ",VLOOKUP(C46,Tabela!$A$3:$D$653,2,FALSE))</f>
        <v xml:space="preserve"> </v>
      </c>
      <c r="E46" s="73"/>
      <c r="F46" s="74">
        <f>IF(B46=0,0,VLOOKUP(C46,Tabela!$A$3:$D$653,4,FALSE))</f>
        <v>0</v>
      </c>
      <c r="G46" s="75">
        <f>IF(B46=0,0,VLOOKUP(C46,Tabela!$A$3:$D$653,3,FALSE))*IF($G$7="A VISTA",(100-$G$8)/100,1)</f>
        <v>0</v>
      </c>
      <c r="H46" s="76">
        <f t="shared" si="0"/>
        <v>0</v>
      </c>
      <c r="I46" s="6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spans="1:26" x14ac:dyDescent="0.2">
      <c r="A47" s="64"/>
      <c r="B47" s="95"/>
      <c r="C47" s="96"/>
      <c r="D47" s="72" t="str">
        <f>IF(B47=0," ",VLOOKUP(C47,Tabela!$A$3:$D$653,2,FALSE))</f>
        <v xml:space="preserve"> </v>
      </c>
      <c r="E47" s="73"/>
      <c r="F47" s="74">
        <f>IF(B47=0,0,VLOOKUP(C47,Tabela!$A$3:$D$653,4,FALSE))</f>
        <v>0</v>
      </c>
      <c r="G47" s="75">
        <f>IF(B47=0,0,VLOOKUP(C47,Tabela!$A$3:$D$653,3,FALSE))*IF($G$7="A VISTA",(100-$G$8)/100,1)</f>
        <v>0</v>
      </c>
      <c r="H47" s="76">
        <f t="shared" si="0"/>
        <v>0</v>
      </c>
      <c r="I47" s="6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spans="1:26" x14ac:dyDescent="0.2">
      <c r="A48" s="64"/>
      <c r="B48" s="95"/>
      <c r="C48" s="96"/>
      <c r="D48" s="72" t="str">
        <f>IF(B48=0," ",VLOOKUP(C48,Tabela!$A$3:$D$653,2,FALSE))</f>
        <v xml:space="preserve"> </v>
      </c>
      <c r="E48" s="73"/>
      <c r="F48" s="74">
        <f>IF(B48=0,0,VLOOKUP(C48,Tabela!$A$3:$D$653,4,FALSE))</f>
        <v>0</v>
      </c>
      <c r="G48" s="75">
        <f>IF(B48=0,0,VLOOKUP(C48,Tabela!$A$3:$D$653,3,FALSE))*IF($G$7="A VISTA",(100-$G$8)/100,1)</f>
        <v>0</v>
      </c>
      <c r="H48" s="76">
        <f t="shared" si="0"/>
        <v>0</v>
      </c>
      <c r="I48" s="6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spans="1:26" x14ac:dyDescent="0.2">
      <c r="A49" s="64"/>
      <c r="B49" s="95"/>
      <c r="C49" s="96"/>
      <c r="D49" s="72" t="str">
        <f>IF(B49=0," ",VLOOKUP(C49,Tabela!$A$3:$D$653,2,FALSE))</f>
        <v xml:space="preserve"> </v>
      </c>
      <c r="E49" s="73"/>
      <c r="F49" s="74">
        <f>IF(B49=0,0,VLOOKUP(C49,Tabela!$A$3:$D$653,4,FALSE))</f>
        <v>0</v>
      </c>
      <c r="G49" s="75">
        <f>IF(B49=0,0,VLOOKUP(C49,Tabela!$A$3:$D$653,3,FALSE))*IF($G$7="A VISTA",(100-$G$8)/100,1)</f>
        <v>0</v>
      </c>
      <c r="H49" s="76">
        <f t="shared" si="0"/>
        <v>0</v>
      </c>
      <c r="I49" s="6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spans="1:26" x14ac:dyDescent="0.2">
      <c r="A50" s="64"/>
      <c r="B50" s="95"/>
      <c r="C50" s="96"/>
      <c r="D50" s="72" t="str">
        <f>IF(B50=0," ",VLOOKUP(C50,Tabela!$A$3:$D$653,2,FALSE))</f>
        <v xml:space="preserve"> </v>
      </c>
      <c r="E50" s="73"/>
      <c r="F50" s="74">
        <f>IF(B50=0,0,VLOOKUP(C50,Tabela!$A$3:$D$653,4,FALSE))</f>
        <v>0</v>
      </c>
      <c r="G50" s="75">
        <f>IF(B50=0,0,VLOOKUP(C50,Tabela!$A$3:$D$653,3,FALSE))*IF($G$7="A VISTA",(100-$G$8)/100,1)</f>
        <v>0</v>
      </c>
      <c r="H50" s="76">
        <f t="shared" si="0"/>
        <v>0</v>
      </c>
      <c r="I50" s="6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spans="1:26" x14ac:dyDescent="0.2">
      <c r="A51" s="64"/>
      <c r="B51" s="95"/>
      <c r="C51" s="96"/>
      <c r="D51" s="72" t="str">
        <f>IF(B51=0," ",VLOOKUP(C51,Tabela!$A$3:$D$653,2,FALSE))</f>
        <v xml:space="preserve"> </v>
      </c>
      <c r="E51" s="73"/>
      <c r="F51" s="74">
        <f>IF(B51=0,0,VLOOKUP(C51,Tabela!$A$3:$D$653,4,FALSE))</f>
        <v>0</v>
      </c>
      <c r="G51" s="75">
        <f>IF(B51=0,0,VLOOKUP(C51,Tabela!$A$3:$D$653,3,FALSE))*IF($G$7="A VISTA",(100-$G$8)/100,1)</f>
        <v>0</v>
      </c>
      <c r="H51" s="76">
        <f t="shared" si="0"/>
        <v>0</v>
      </c>
      <c r="I51" s="6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spans="1:26" x14ac:dyDescent="0.2">
      <c r="A52" s="64"/>
      <c r="B52" s="95"/>
      <c r="C52" s="96"/>
      <c r="D52" s="72" t="str">
        <f>IF(B52=0," ",VLOOKUP(C52,Tabela!$A$3:$D$653,2,FALSE))</f>
        <v xml:space="preserve"> </v>
      </c>
      <c r="E52" s="73"/>
      <c r="F52" s="74">
        <f>IF(B52=0,0,VLOOKUP(C52,Tabela!$A$3:$D$653,4,FALSE))</f>
        <v>0</v>
      </c>
      <c r="G52" s="75">
        <f>IF(B52=0,0,VLOOKUP(C52,Tabela!$A$3:$D$653,3,FALSE))*IF($G$7="A VISTA",(100-$G$8)/100,1)</f>
        <v>0</v>
      </c>
      <c r="H52" s="76">
        <f t="shared" si="0"/>
        <v>0</v>
      </c>
      <c r="I52" s="6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spans="1:26" x14ac:dyDescent="0.2">
      <c r="A53" s="64"/>
      <c r="B53" s="95"/>
      <c r="C53" s="96"/>
      <c r="D53" s="72" t="str">
        <f>IF(B53=0," ",VLOOKUP(C53,Tabela!$A$3:$D$653,2,FALSE))</f>
        <v xml:space="preserve"> </v>
      </c>
      <c r="E53" s="73"/>
      <c r="F53" s="74">
        <f>IF(B53=0,0,VLOOKUP(C53,Tabela!$A$3:$D$653,4,FALSE))</f>
        <v>0</v>
      </c>
      <c r="G53" s="75">
        <f>IF(B53=0,0,VLOOKUP(C53,Tabela!$A$3:$D$653,3,FALSE))*IF($G$7="A VISTA",(100-$G$8)/100,1)</f>
        <v>0</v>
      </c>
      <c r="H53" s="76">
        <f t="shared" si="0"/>
        <v>0</v>
      </c>
      <c r="I53" s="6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spans="1:26" x14ac:dyDescent="0.2">
      <c r="A54" s="64"/>
      <c r="B54" s="95"/>
      <c r="C54" s="96"/>
      <c r="D54" s="72" t="str">
        <f>IF(B54=0," ",VLOOKUP(C54,Tabela!$A$3:$D$653,2,FALSE))</f>
        <v xml:space="preserve"> </v>
      </c>
      <c r="E54" s="73"/>
      <c r="F54" s="74">
        <f>IF(B54=0,0,VLOOKUP(C54,Tabela!$A$3:$D$653,4,FALSE))</f>
        <v>0</v>
      </c>
      <c r="G54" s="75">
        <f>IF(B54=0,0,VLOOKUP(C54,Tabela!$A$3:$D$653,3,FALSE))*IF($G$7="A VISTA",(100-$G$8)/100,1)</f>
        <v>0</v>
      </c>
      <c r="H54" s="76">
        <f t="shared" si="0"/>
        <v>0</v>
      </c>
      <c r="I54" s="6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spans="1:26" x14ac:dyDescent="0.2">
      <c r="A55" s="64"/>
      <c r="B55" s="95"/>
      <c r="C55" s="96"/>
      <c r="D55" s="72" t="str">
        <f>IF(B55=0," ",VLOOKUP(C55,Tabela!$A$3:$D$653,2,FALSE))</f>
        <v xml:space="preserve"> </v>
      </c>
      <c r="E55" s="73"/>
      <c r="F55" s="74">
        <f>IF(B55=0,0,VLOOKUP(C55,Tabela!$A$3:$D$653,4,FALSE))</f>
        <v>0</v>
      </c>
      <c r="G55" s="75">
        <f>IF(B55=0,0,VLOOKUP(C55,Tabela!$A$3:$D$653,3,FALSE))*IF($G$7="A VISTA",(100-$G$8)/100,1)</f>
        <v>0</v>
      </c>
      <c r="H55" s="76">
        <f t="shared" si="0"/>
        <v>0</v>
      </c>
      <c r="I55" s="6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spans="1:26" x14ac:dyDescent="0.2">
      <c r="A56" s="64"/>
      <c r="B56" s="95"/>
      <c r="C56" s="96"/>
      <c r="D56" s="72" t="str">
        <f>IF(B56=0," ",VLOOKUP(C56,Tabela!$A$3:$D$653,2,FALSE))</f>
        <v xml:space="preserve"> </v>
      </c>
      <c r="E56" s="73"/>
      <c r="F56" s="74">
        <f>IF(B56=0,0,VLOOKUP(C56,Tabela!$A$3:$D$653,4,FALSE))</f>
        <v>0</v>
      </c>
      <c r="G56" s="75">
        <f>IF(B56=0,0,VLOOKUP(C56,Tabela!$A$3:$D$653,3,FALSE))*IF($G$7="A VISTA",(100-$G$8)/100,1)</f>
        <v>0</v>
      </c>
      <c r="H56" s="76">
        <f t="shared" si="0"/>
        <v>0</v>
      </c>
      <c r="I56" s="6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spans="1:26" x14ac:dyDescent="0.2">
      <c r="A57" s="64"/>
      <c r="B57" s="95"/>
      <c r="C57" s="96"/>
      <c r="D57" s="72" t="str">
        <f>IF(B57=0," ",VLOOKUP(C57,Tabela!$A$3:$D$653,2,FALSE))</f>
        <v xml:space="preserve"> </v>
      </c>
      <c r="E57" s="73"/>
      <c r="F57" s="74">
        <f>IF(B57=0,0,VLOOKUP(C57,Tabela!$A$3:$D$653,4,FALSE))</f>
        <v>0</v>
      </c>
      <c r="G57" s="75">
        <f>IF(B57=0,0,VLOOKUP(C57,Tabela!$A$3:$D$653,3,FALSE))*IF($G$7="A VISTA",(100-$G$8)/100,1)</f>
        <v>0</v>
      </c>
      <c r="H57" s="76">
        <f t="shared" si="0"/>
        <v>0</v>
      </c>
      <c r="I57" s="6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spans="1:26" x14ac:dyDescent="0.2">
      <c r="A58" s="64"/>
      <c r="B58" s="95"/>
      <c r="C58" s="96"/>
      <c r="D58" s="72" t="str">
        <f>IF(B58=0," ",VLOOKUP(C58,Tabela!$A$3:$D$653,2,FALSE))</f>
        <v xml:space="preserve"> </v>
      </c>
      <c r="E58" s="73"/>
      <c r="F58" s="74">
        <f>IF(B58=0,0,VLOOKUP(C58,Tabela!$A$3:$D$653,4,FALSE))</f>
        <v>0</v>
      </c>
      <c r="G58" s="75">
        <f>IF(B58=0,0,VLOOKUP(C58,Tabela!$A$3:$D$653,3,FALSE))*IF($G$7="A VISTA",(100-$G$8)/100,1)</f>
        <v>0</v>
      </c>
      <c r="H58" s="76">
        <f t="shared" si="0"/>
        <v>0</v>
      </c>
      <c r="I58" s="6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spans="1:26" x14ac:dyDescent="0.2">
      <c r="A59" s="64"/>
      <c r="B59" s="95"/>
      <c r="C59" s="96"/>
      <c r="D59" s="72" t="str">
        <f>IF(B59=0," ",VLOOKUP(C59,Tabela!$A$3:$D$653,2,FALSE))</f>
        <v xml:space="preserve"> </v>
      </c>
      <c r="E59" s="73"/>
      <c r="F59" s="74">
        <f>IF(B59=0,0,VLOOKUP(C59,Tabela!$A$3:$D$653,4,FALSE))</f>
        <v>0</v>
      </c>
      <c r="G59" s="75">
        <f>IF(B59=0,0,VLOOKUP(C59,Tabela!$A$3:$D$653,3,FALSE))*IF($G$7="A VISTA",(100-$G$8)/100,1)</f>
        <v>0</v>
      </c>
      <c r="H59" s="76">
        <f t="shared" si="0"/>
        <v>0</v>
      </c>
      <c r="I59" s="6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spans="1:26" x14ac:dyDescent="0.2">
      <c r="A60" s="64"/>
      <c r="B60" s="95"/>
      <c r="C60" s="96"/>
      <c r="D60" s="72" t="str">
        <f>IF(B60=0," ",VLOOKUP(C60,Tabela!$A$3:$D$653,2,FALSE))</f>
        <v xml:space="preserve"> </v>
      </c>
      <c r="E60" s="73"/>
      <c r="F60" s="74">
        <f>IF(B60=0,0,VLOOKUP(C60,Tabela!$A$3:$D$653,4,FALSE))</f>
        <v>0</v>
      </c>
      <c r="G60" s="75">
        <f>IF(B60=0,0,VLOOKUP(C60,Tabela!$A$3:$D$653,3,FALSE))*IF($G$7="A VISTA",(100-$G$8)/100,1)</f>
        <v>0</v>
      </c>
      <c r="H60" s="76">
        <f t="shared" si="0"/>
        <v>0</v>
      </c>
      <c r="I60" s="6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spans="1:26" x14ac:dyDescent="0.2">
      <c r="A61" s="64"/>
      <c r="B61" s="95"/>
      <c r="C61" s="96"/>
      <c r="D61" s="72" t="str">
        <f>IF(B61=0," ",VLOOKUP(C61,Tabela!$A$3:$D$653,2,FALSE))</f>
        <v xml:space="preserve"> </v>
      </c>
      <c r="E61" s="73"/>
      <c r="F61" s="74">
        <f>IF(B61=0,0,VLOOKUP(C61,Tabela!$A$3:$D$653,4,FALSE))</f>
        <v>0</v>
      </c>
      <c r="G61" s="75">
        <f>IF(B61=0,0,VLOOKUP(C61,Tabela!$A$3:$D$653,3,FALSE))*IF($G$7="A VISTA",(100-$G$8)/100,1)</f>
        <v>0</v>
      </c>
      <c r="H61" s="76">
        <f t="shared" si="0"/>
        <v>0</v>
      </c>
      <c r="I61" s="6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spans="1:26" x14ac:dyDescent="0.2">
      <c r="A62" s="64"/>
      <c r="B62" s="95"/>
      <c r="C62" s="96"/>
      <c r="D62" s="72" t="str">
        <f>IF(B62=0," ",VLOOKUP(C62,Tabela!$A$3:$D$653,2,FALSE))</f>
        <v xml:space="preserve"> </v>
      </c>
      <c r="E62" s="73"/>
      <c r="F62" s="74">
        <f>IF(B62=0,0,VLOOKUP(C62,Tabela!$A$3:$D$653,4,FALSE))</f>
        <v>0</v>
      </c>
      <c r="G62" s="75">
        <f>IF(B62=0,0,VLOOKUP(C62,Tabela!$A$3:$D$653,3,FALSE))*IF($G$7="A VISTA",(100-$G$8)/100,1)</f>
        <v>0</v>
      </c>
      <c r="H62" s="76">
        <f t="shared" si="0"/>
        <v>0</v>
      </c>
      <c r="I62" s="6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spans="1:26" x14ac:dyDescent="0.2">
      <c r="A63" s="64"/>
      <c r="B63" s="95"/>
      <c r="C63" s="96"/>
      <c r="D63" s="72" t="str">
        <f>IF(B63=0," ",VLOOKUP(C63,Tabela!$A$3:$D$653,2,FALSE))</f>
        <v xml:space="preserve"> </v>
      </c>
      <c r="E63" s="73"/>
      <c r="F63" s="74">
        <f>IF(B63=0,0,VLOOKUP(C63,Tabela!$A$3:$D$653,4,FALSE))</f>
        <v>0</v>
      </c>
      <c r="G63" s="75">
        <f>IF(B63=0,0,VLOOKUP(C63,Tabela!$A$3:$D$653,3,FALSE))*IF($G$7="A VISTA",(100-$G$8)/100,1)</f>
        <v>0</v>
      </c>
      <c r="H63" s="76">
        <f t="shared" si="0"/>
        <v>0</v>
      </c>
      <c r="I63" s="6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spans="1:26" x14ac:dyDescent="0.2">
      <c r="A64" s="64"/>
      <c r="B64" s="95"/>
      <c r="C64" s="96"/>
      <c r="D64" s="72" t="str">
        <f>IF(B64=0," ",VLOOKUP(C64,Tabela!$A$3:$D$653,2,FALSE))</f>
        <v xml:space="preserve"> </v>
      </c>
      <c r="E64" s="73"/>
      <c r="F64" s="74">
        <f>IF(B64=0,0,VLOOKUP(C64,Tabela!$A$3:$D$653,4,FALSE))</f>
        <v>0</v>
      </c>
      <c r="G64" s="75">
        <f>IF(B64=0,0,VLOOKUP(C64,Tabela!$A$3:$D$653,3,FALSE))*IF($G$7="A VISTA",(100-$G$8)/100,1)</f>
        <v>0</v>
      </c>
      <c r="H64" s="76">
        <f t="shared" si="0"/>
        <v>0</v>
      </c>
      <c r="I64" s="6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spans="1:26" x14ac:dyDescent="0.2">
      <c r="A65" s="64"/>
      <c r="B65" s="95"/>
      <c r="C65" s="96"/>
      <c r="D65" s="72" t="str">
        <f>IF(B65=0," ",VLOOKUP(C65,Tabela!$A$3:$D$653,2,FALSE))</f>
        <v xml:space="preserve"> </v>
      </c>
      <c r="E65" s="73"/>
      <c r="F65" s="74">
        <f>IF(B65=0,0,VLOOKUP(C65,Tabela!$A$3:$D$653,4,FALSE))</f>
        <v>0</v>
      </c>
      <c r="G65" s="75">
        <f>IF(B65=0,0,VLOOKUP(C65,Tabela!$A$3:$D$653,3,FALSE))*IF($G$7="A VISTA",(100-$G$8)/100,1)</f>
        <v>0</v>
      </c>
      <c r="H65" s="76">
        <f t="shared" si="0"/>
        <v>0</v>
      </c>
      <c r="I65" s="6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spans="1:26" x14ac:dyDescent="0.2">
      <c r="A66" s="64"/>
      <c r="B66" s="95"/>
      <c r="C66" s="96"/>
      <c r="D66" s="72" t="str">
        <f>IF(B66=0," ",VLOOKUP(C66,Tabela!$A$3:$D$653,2,FALSE))</f>
        <v xml:space="preserve"> </v>
      </c>
      <c r="E66" s="73"/>
      <c r="F66" s="74">
        <f>IF(B66=0,0,VLOOKUP(C66,Tabela!$A$3:$D$653,4,FALSE))</f>
        <v>0</v>
      </c>
      <c r="G66" s="75">
        <f>IF(B66=0,0,VLOOKUP(C66,Tabela!$A$3:$D$653,3,FALSE))*IF($G$7="A VISTA",(100-$G$8)/100,1)</f>
        <v>0</v>
      </c>
      <c r="H66" s="76">
        <f t="shared" si="0"/>
        <v>0</v>
      </c>
      <c r="I66" s="6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spans="1:26" x14ac:dyDescent="0.2">
      <c r="A67" s="64"/>
      <c r="B67" s="95"/>
      <c r="C67" s="96"/>
      <c r="D67" s="72" t="str">
        <f>IF(B67=0," ",VLOOKUP(C67,Tabela!$A$3:$D$653,2,FALSE))</f>
        <v xml:space="preserve"> </v>
      </c>
      <c r="E67" s="73"/>
      <c r="F67" s="74">
        <f>IF(B67=0,0,VLOOKUP(C67,Tabela!$A$3:$D$653,4,FALSE))</f>
        <v>0</v>
      </c>
      <c r="G67" s="75">
        <f>IF(B67=0,0,VLOOKUP(C67,Tabela!$A$3:$D$653,3,FALSE))*IF($G$7="A VISTA",(100-$G$8)/100,1)</f>
        <v>0</v>
      </c>
      <c r="H67" s="76">
        <f t="shared" si="0"/>
        <v>0</v>
      </c>
      <c r="I67" s="6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spans="1:26" x14ac:dyDescent="0.2">
      <c r="A68" s="64"/>
      <c r="B68" s="95"/>
      <c r="C68" s="96"/>
      <c r="D68" s="72" t="str">
        <f>IF(B68=0," ",VLOOKUP(C68,Tabela!$A$3:$D$653,2,FALSE))</f>
        <v xml:space="preserve"> </v>
      </c>
      <c r="E68" s="73"/>
      <c r="F68" s="74">
        <f>IF(B68=0,0,VLOOKUP(C68,Tabela!$A$3:$D$653,4,FALSE))</f>
        <v>0</v>
      </c>
      <c r="G68" s="75">
        <f>IF(B68=0,0,VLOOKUP(C68,Tabela!$A$3:$D$653,3,FALSE))*IF($G$7="A VISTA",(100-$G$8)/100,1)</f>
        <v>0</v>
      </c>
      <c r="H68" s="76">
        <f t="shared" si="0"/>
        <v>0</v>
      </c>
      <c r="I68" s="6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spans="1:26" x14ac:dyDescent="0.2">
      <c r="A69" s="64"/>
      <c r="B69" s="95"/>
      <c r="C69" s="96"/>
      <c r="D69" s="72" t="str">
        <f>IF(B69=0," ",VLOOKUP(C69,Tabela!$A$3:$D$653,2,FALSE))</f>
        <v xml:space="preserve"> </v>
      </c>
      <c r="E69" s="73"/>
      <c r="F69" s="74">
        <f>IF(B69=0,0,VLOOKUP(C69,Tabela!$A$3:$D$653,4,FALSE))</f>
        <v>0</v>
      </c>
      <c r="G69" s="75">
        <f>IF(B69=0,0,VLOOKUP(C69,Tabela!$A$3:$D$653,3,FALSE))*IF($G$7="A VISTA",(100-$G$8)/100,1)</f>
        <v>0</v>
      </c>
      <c r="H69" s="76">
        <f t="shared" si="0"/>
        <v>0</v>
      </c>
      <c r="I69" s="6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spans="1:26" x14ac:dyDescent="0.2">
      <c r="A70" s="64"/>
      <c r="B70" s="95"/>
      <c r="C70" s="96"/>
      <c r="D70" s="72" t="str">
        <f>IF(B70=0," ",VLOOKUP(C70,Tabela!$A$3:$D$653,2,FALSE))</f>
        <v xml:space="preserve"> </v>
      </c>
      <c r="E70" s="73"/>
      <c r="F70" s="74">
        <f>IF(B70=0,0,VLOOKUP(C70,Tabela!$A$3:$D$653,4,FALSE))</f>
        <v>0</v>
      </c>
      <c r="G70" s="75">
        <f>IF(B70=0,0,VLOOKUP(C70,Tabela!$A$3:$D$653,3,FALSE))*IF($G$7="A VISTA",(100-$G$8)/100,1)</f>
        <v>0</v>
      </c>
      <c r="H70" s="76">
        <f t="shared" si="0"/>
        <v>0</v>
      </c>
      <c r="I70" s="6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spans="1:26" x14ac:dyDescent="0.2">
      <c r="A71" s="64"/>
      <c r="B71" s="95"/>
      <c r="C71" s="96"/>
      <c r="D71" s="72" t="str">
        <f>IF(B71=0," ",VLOOKUP(C71,Tabela!$A$3:$D$653,2,FALSE))</f>
        <v xml:space="preserve"> </v>
      </c>
      <c r="E71" s="73"/>
      <c r="F71" s="74">
        <f>IF(B71=0,0,VLOOKUP(C71,Tabela!$A$3:$D$653,4,FALSE))</f>
        <v>0</v>
      </c>
      <c r="G71" s="75">
        <f>IF(B71=0,0,VLOOKUP(C71,Tabela!$A$3:$D$653,3,FALSE))*IF($G$7="A VISTA",(100-$G$8)/100,1)</f>
        <v>0</v>
      </c>
      <c r="H71" s="76">
        <f t="shared" si="0"/>
        <v>0</v>
      </c>
      <c r="I71" s="6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spans="1:26" x14ac:dyDescent="0.2">
      <c r="A72" s="64"/>
      <c r="B72" s="95"/>
      <c r="C72" s="96"/>
      <c r="D72" s="72" t="str">
        <f>IF(B72=0," ",VLOOKUP(C72,Tabela!$A$3:$D$653,2,FALSE))</f>
        <v xml:space="preserve"> </v>
      </c>
      <c r="E72" s="73"/>
      <c r="F72" s="74">
        <f>IF(B72=0,0,VLOOKUP(C72,Tabela!$A$3:$D$653,4,FALSE))</f>
        <v>0</v>
      </c>
      <c r="G72" s="75">
        <f>IF(B72=0,0,VLOOKUP(C72,Tabela!$A$3:$D$653,3,FALSE))*IF($G$7="A VISTA",(100-$G$8)/100,1)</f>
        <v>0</v>
      </c>
      <c r="H72" s="76">
        <f t="shared" si="0"/>
        <v>0</v>
      </c>
      <c r="I72" s="6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spans="1:26" x14ac:dyDescent="0.2">
      <c r="A73" s="64"/>
      <c r="B73" s="95"/>
      <c r="C73" s="96"/>
      <c r="D73" s="72" t="str">
        <f>IF(B73=0," ",VLOOKUP(C73,Tabela!$A$3:$D$653,2,FALSE))</f>
        <v xml:space="preserve"> </v>
      </c>
      <c r="E73" s="73"/>
      <c r="F73" s="74">
        <f>IF(B73=0,0,VLOOKUP(C73,Tabela!$A$3:$D$653,4,FALSE))</f>
        <v>0</v>
      </c>
      <c r="G73" s="75">
        <f>IF(B73=0,0,VLOOKUP(C73,Tabela!$A$3:$D$653,3,FALSE))*IF($G$7="A VISTA",(100-$G$8)/100,1)</f>
        <v>0</v>
      </c>
      <c r="H73" s="76">
        <f t="shared" si="0"/>
        <v>0</v>
      </c>
      <c r="I73" s="6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spans="1:26" x14ac:dyDescent="0.2">
      <c r="A74" s="64"/>
      <c r="B74" s="95"/>
      <c r="C74" s="96"/>
      <c r="D74" s="72" t="str">
        <f>IF(B74=0," ",VLOOKUP(C74,Tabela!$A$3:$D$653,2,FALSE))</f>
        <v xml:space="preserve"> </v>
      </c>
      <c r="E74" s="73"/>
      <c r="F74" s="74">
        <f>IF(B74=0,0,VLOOKUP(C74,Tabela!$A$3:$D$653,4,FALSE))</f>
        <v>0</v>
      </c>
      <c r="G74" s="75">
        <f>IF(B74=0,0,VLOOKUP(C74,Tabela!$A$3:$D$653,3,FALSE))*IF($G$7="A VISTA",(100-$G$8)/100,1)</f>
        <v>0</v>
      </c>
      <c r="H74" s="76">
        <f t="shared" si="0"/>
        <v>0</v>
      </c>
      <c r="I74" s="6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spans="1:26" x14ac:dyDescent="0.2">
      <c r="A75" s="64"/>
      <c r="B75" s="95"/>
      <c r="C75" s="96"/>
      <c r="D75" s="72" t="str">
        <f>IF(B75=0," ",VLOOKUP(C75,Tabela!$A$3:$D$653,2,FALSE))</f>
        <v xml:space="preserve"> </v>
      </c>
      <c r="E75" s="73"/>
      <c r="F75" s="74">
        <f>IF(B75=0,0,VLOOKUP(C75,Tabela!$A$3:$D$653,4,FALSE))</f>
        <v>0</v>
      </c>
      <c r="G75" s="75">
        <f>IF(B75=0,0,VLOOKUP(C75,Tabela!$A$3:$D$653,3,FALSE))*IF($G$7="A VISTA",(100-$G$8)/100,1)</f>
        <v>0</v>
      </c>
      <c r="H75" s="76">
        <f t="shared" si="0"/>
        <v>0</v>
      </c>
      <c r="I75" s="6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spans="1:26" x14ac:dyDescent="0.2">
      <c r="A76" s="64"/>
      <c r="B76" s="95"/>
      <c r="C76" s="96"/>
      <c r="D76" s="72" t="str">
        <f>IF(B76=0," ",VLOOKUP(C76,Tabela!$A$3:$D$653,2,FALSE))</f>
        <v xml:space="preserve"> </v>
      </c>
      <c r="E76" s="73"/>
      <c r="F76" s="74">
        <f>IF(B76=0,0,VLOOKUP(C76,Tabela!$A$3:$D$653,4,FALSE))</f>
        <v>0</v>
      </c>
      <c r="G76" s="75">
        <f>IF(B76=0,0,VLOOKUP(C76,Tabela!$A$3:$D$653,3,FALSE))*IF($G$7="A VISTA",(100-$G$8)/100,1)</f>
        <v>0</v>
      </c>
      <c r="H76" s="76">
        <f t="shared" ref="H76:H139" si="1">B76*G76</f>
        <v>0</v>
      </c>
      <c r="I76" s="6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spans="1:26" x14ac:dyDescent="0.2">
      <c r="A77" s="64"/>
      <c r="B77" s="95"/>
      <c r="C77" s="96"/>
      <c r="D77" s="72" t="str">
        <f>IF(B77=0," ",VLOOKUP(C77,Tabela!$A$3:$D$653,2,FALSE))</f>
        <v xml:space="preserve"> </v>
      </c>
      <c r="E77" s="73"/>
      <c r="F77" s="74">
        <f>IF(B77=0,0,VLOOKUP(C77,Tabela!$A$3:$D$653,4,FALSE))</f>
        <v>0</v>
      </c>
      <c r="G77" s="75">
        <f>IF(B77=0,0,VLOOKUP(C77,Tabela!$A$3:$D$653,3,FALSE))*IF($G$7="A VISTA",(100-$G$8)/100,1)</f>
        <v>0</v>
      </c>
      <c r="H77" s="76">
        <f t="shared" si="1"/>
        <v>0</v>
      </c>
      <c r="I77" s="6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spans="1:26" x14ac:dyDescent="0.2">
      <c r="A78" s="64"/>
      <c r="B78" s="95"/>
      <c r="C78" s="96"/>
      <c r="D78" s="72" t="str">
        <f>IF(B78=0," ",VLOOKUP(C78,Tabela!$A$3:$D$653,2,FALSE))</f>
        <v xml:space="preserve"> </v>
      </c>
      <c r="E78" s="73"/>
      <c r="F78" s="74">
        <f>IF(B78=0,0,VLOOKUP(C78,Tabela!$A$3:$D$653,4,FALSE))</f>
        <v>0</v>
      </c>
      <c r="G78" s="75">
        <f>IF(B78=0,0,VLOOKUP(C78,Tabela!$A$3:$D$653,3,FALSE))*IF($G$7="A VISTA",(100-$G$8)/100,1)</f>
        <v>0</v>
      </c>
      <c r="H78" s="76">
        <f t="shared" si="1"/>
        <v>0</v>
      </c>
      <c r="I78" s="6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spans="1:26" x14ac:dyDescent="0.2">
      <c r="A79" s="64"/>
      <c r="B79" s="95"/>
      <c r="C79" s="96"/>
      <c r="D79" s="72" t="str">
        <f>IF(B79=0," ",VLOOKUP(C79,Tabela!$A$3:$D$653,2,FALSE))</f>
        <v xml:space="preserve"> </v>
      </c>
      <c r="E79" s="73"/>
      <c r="F79" s="74">
        <f>IF(B79=0,0,VLOOKUP(C79,Tabela!$A$3:$D$653,4,FALSE))</f>
        <v>0</v>
      </c>
      <c r="G79" s="75">
        <f>IF(B79=0,0,VLOOKUP(C79,Tabela!$A$3:$D$653,3,FALSE))*IF($G$7="A VISTA",(100-$G$8)/100,1)</f>
        <v>0</v>
      </c>
      <c r="H79" s="76">
        <f t="shared" si="1"/>
        <v>0</v>
      </c>
      <c r="I79" s="6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spans="1:26" x14ac:dyDescent="0.2">
      <c r="A80" s="64"/>
      <c r="B80" s="95"/>
      <c r="C80" s="96"/>
      <c r="D80" s="72" t="str">
        <f>IF(B80=0," ",VLOOKUP(C80,Tabela!$A$3:$D$653,2,FALSE))</f>
        <v xml:space="preserve"> </v>
      </c>
      <c r="E80" s="73"/>
      <c r="F80" s="74">
        <f>IF(B80=0,0,VLOOKUP(C80,Tabela!$A$3:$D$653,4,FALSE))</f>
        <v>0</v>
      </c>
      <c r="G80" s="75">
        <f>IF(B80=0,0,VLOOKUP(C80,Tabela!$A$3:$D$653,3,FALSE))*IF($G$7="A VISTA",(100-$G$8)/100,1)</f>
        <v>0</v>
      </c>
      <c r="H80" s="76">
        <f t="shared" si="1"/>
        <v>0</v>
      </c>
      <c r="I80" s="6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spans="1:26" x14ac:dyDescent="0.2">
      <c r="A81" s="64"/>
      <c r="B81" s="95"/>
      <c r="C81" s="96"/>
      <c r="D81" s="72" t="str">
        <f>IF(B81=0," ",VLOOKUP(C81,Tabela!$A$3:$D$653,2,FALSE))</f>
        <v xml:space="preserve"> </v>
      </c>
      <c r="E81" s="73"/>
      <c r="F81" s="74">
        <f>IF(B81=0,0,VLOOKUP(C81,Tabela!$A$3:$D$653,4,FALSE))</f>
        <v>0</v>
      </c>
      <c r="G81" s="75">
        <f>IF(B81=0,0,VLOOKUP(C81,Tabela!$A$3:$D$653,3,FALSE))*IF($G$7="A VISTA",(100-$G$8)/100,1)</f>
        <v>0</v>
      </c>
      <c r="H81" s="76">
        <f t="shared" si="1"/>
        <v>0</v>
      </c>
      <c r="I81" s="6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spans="1:26" x14ac:dyDescent="0.2">
      <c r="A82" s="64"/>
      <c r="B82" s="95"/>
      <c r="C82" s="96"/>
      <c r="D82" s="72" t="str">
        <f>IF(B82=0," ",VLOOKUP(C82,Tabela!$A$3:$D$653,2,FALSE))</f>
        <v xml:space="preserve"> </v>
      </c>
      <c r="E82" s="73"/>
      <c r="F82" s="74">
        <f>IF(B82=0,0,VLOOKUP(C82,Tabela!$A$3:$D$653,4,FALSE))</f>
        <v>0</v>
      </c>
      <c r="G82" s="75">
        <f>IF(B82=0,0,VLOOKUP(C82,Tabela!$A$3:$D$653,3,FALSE))*IF($G$7="A VISTA",(100-$G$8)/100,1)</f>
        <v>0</v>
      </c>
      <c r="H82" s="76">
        <f t="shared" si="1"/>
        <v>0</v>
      </c>
      <c r="I82" s="6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spans="1:26" x14ac:dyDescent="0.2">
      <c r="A83" s="64"/>
      <c r="B83" s="95"/>
      <c r="C83" s="96"/>
      <c r="D83" s="72" t="str">
        <f>IF(B83=0," ",VLOOKUP(C83,Tabela!$A$3:$D$653,2,FALSE))</f>
        <v xml:space="preserve"> </v>
      </c>
      <c r="E83" s="73"/>
      <c r="F83" s="74">
        <f>IF(B83=0,0,VLOOKUP(C83,Tabela!$A$3:$D$653,4,FALSE))</f>
        <v>0</v>
      </c>
      <c r="G83" s="75">
        <f>IF(B83=0,0,VLOOKUP(C83,Tabela!$A$3:$D$653,3,FALSE))*IF($G$7="A VISTA",(100-$G$8)/100,1)</f>
        <v>0</v>
      </c>
      <c r="H83" s="76">
        <f t="shared" si="1"/>
        <v>0</v>
      </c>
      <c r="I83" s="6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spans="1:26" x14ac:dyDescent="0.2">
      <c r="A84" s="64"/>
      <c r="B84" s="95"/>
      <c r="C84" s="96"/>
      <c r="D84" s="72" t="str">
        <f>IF(B84=0," ",VLOOKUP(C84,Tabela!$A$3:$D$653,2,FALSE))</f>
        <v xml:space="preserve"> </v>
      </c>
      <c r="E84" s="73"/>
      <c r="F84" s="74">
        <f>IF(B84=0,0,VLOOKUP(C84,Tabela!$A$3:$D$653,4,FALSE))</f>
        <v>0</v>
      </c>
      <c r="G84" s="75">
        <f>IF(B84=0,0,VLOOKUP(C84,Tabela!$A$3:$D$653,3,FALSE))*IF($G$7="A VISTA",(100-$G$8)/100,1)</f>
        <v>0</v>
      </c>
      <c r="H84" s="76">
        <f t="shared" si="1"/>
        <v>0</v>
      </c>
      <c r="I84" s="6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spans="1:26" x14ac:dyDescent="0.2">
      <c r="A85" s="64"/>
      <c r="B85" s="95"/>
      <c r="C85" s="96"/>
      <c r="D85" s="72" t="str">
        <f>IF(B85=0," ",VLOOKUP(C85,Tabela!$A$3:$D$653,2,FALSE))</f>
        <v xml:space="preserve"> </v>
      </c>
      <c r="E85" s="73"/>
      <c r="F85" s="74">
        <f>IF(B85=0,0,VLOOKUP(C85,Tabela!$A$3:$D$653,4,FALSE))</f>
        <v>0</v>
      </c>
      <c r="G85" s="75">
        <f>IF(B85=0,0,VLOOKUP(C85,Tabela!$A$3:$D$653,3,FALSE))*IF($G$7="A VISTA",(100-$G$8)/100,1)</f>
        <v>0</v>
      </c>
      <c r="H85" s="76">
        <f t="shared" si="1"/>
        <v>0</v>
      </c>
      <c r="I85" s="6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spans="1:26" x14ac:dyDescent="0.2">
      <c r="A86" s="64"/>
      <c r="B86" s="95"/>
      <c r="C86" s="96"/>
      <c r="D86" s="72" t="str">
        <f>IF(B86=0," ",VLOOKUP(C86,Tabela!$A$3:$D$653,2,FALSE))</f>
        <v xml:space="preserve"> </v>
      </c>
      <c r="E86" s="73"/>
      <c r="F86" s="74">
        <f>IF(B86=0,0,VLOOKUP(C86,Tabela!$A$3:$D$653,4,FALSE))</f>
        <v>0</v>
      </c>
      <c r="G86" s="75">
        <f>IF(B86=0,0,VLOOKUP(C86,Tabela!$A$3:$D$653,3,FALSE))*IF($G$7="A VISTA",(100-$G$8)/100,1)</f>
        <v>0</v>
      </c>
      <c r="H86" s="76">
        <f t="shared" si="1"/>
        <v>0</v>
      </c>
      <c r="I86" s="6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spans="1:26" x14ac:dyDescent="0.2">
      <c r="A87" s="64"/>
      <c r="B87" s="95"/>
      <c r="C87" s="96"/>
      <c r="D87" s="72" t="str">
        <f>IF(B87=0," ",VLOOKUP(C87,Tabela!$A$3:$D$653,2,FALSE))</f>
        <v xml:space="preserve"> </v>
      </c>
      <c r="E87" s="73"/>
      <c r="F87" s="74">
        <f>IF(B87=0,0,VLOOKUP(C87,Tabela!$A$3:$D$653,4,FALSE))</f>
        <v>0</v>
      </c>
      <c r="G87" s="75">
        <f>IF(B87=0,0,VLOOKUP(C87,Tabela!$A$3:$D$653,3,FALSE))*IF($G$7="A VISTA",(100-$G$8)/100,1)</f>
        <v>0</v>
      </c>
      <c r="H87" s="76">
        <f t="shared" si="1"/>
        <v>0</v>
      </c>
      <c r="I87" s="6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spans="1:26" x14ac:dyDescent="0.2">
      <c r="A88" s="64"/>
      <c r="B88" s="95"/>
      <c r="C88" s="96"/>
      <c r="D88" s="72" t="str">
        <f>IF(B88=0," ",VLOOKUP(C88,Tabela!$A$3:$D$653,2,FALSE))</f>
        <v xml:space="preserve"> </v>
      </c>
      <c r="E88" s="73"/>
      <c r="F88" s="74">
        <f>IF(B88=0,0,VLOOKUP(C88,Tabela!$A$3:$D$653,4,FALSE))</f>
        <v>0</v>
      </c>
      <c r="G88" s="75">
        <f>IF(B88=0,0,VLOOKUP(C88,Tabela!$A$3:$D$653,3,FALSE))*IF($G$7="A VISTA",(100-$G$8)/100,1)</f>
        <v>0</v>
      </c>
      <c r="H88" s="76">
        <f t="shared" si="1"/>
        <v>0</v>
      </c>
      <c r="I88" s="6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spans="1:26" x14ac:dyDescent="0.2">
      <c r="A89" s="64"/>
      <c r="B89" s="95"/>
      <c r="C89" s="96"/>
      <c r="D89" s="72" t="str">
        <f>IF(B89=0," ",VLOOKUP(C89,Tabela!$A$3:$D$653,2,FALSE))</f>
        <v xml:space="preserve"> </v>
      </c>
      <c r="E89" s="73"/>
      <c r="F89" s="74">
        <f>IF(B89=0,0,VLOOKUP(C89,Tabela!$A$3:$D$653,4,FALSE))</f>
        <v>0</v>
      </c>
      <c r="G89" s="75">
        <f>IF(B89=0,0,VLOOKUP(C89,Tabela!$A$3:$D$653,3,FALSE))*IF($G$7="A VISTA",(100-$G$8)/100,1)</f>
        <v>0</v>
      </c>
      <c r="H89" s="76">
        <f t="shared" si="1"/>
        <v>0</v>
      </c>
      <c r="I89" s="6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spans="1:26" x14ac:dyDescent="0.2">
      <c r="A90" s="64"/>
      <c r="B90" s="95"/>
      <c r="C90" s="96"/>
      <c r="D90" s="72" t="str">
        <f>IF(B90=0," ",VLOOKUP(C90,Tabela!$A$3:$D$653,2,FALSE))</f>
        <v xml:space="preserve"> </v>
      </c>
      <c r="E90" s="73"/>
      <c r="F90" s="74">
        <f>IF(B90=0,0,VLOOKUP(C90,Tabela!$A$3:$D$653,4,FALSE))</f>
        <v>0</v>
      </c>
      <c r="G90" s="75">
        <f>IF(B90=0,0,VLOOKUP(C90,Tabela!$A$3:$D$653,3,FALSE))*IF($G$7="A VISTA",(100-$G$8)/100,1)</f>
        <v>0</v>
      </c>
      <c r="H90" s="76">
        <f t="shared" si="1"/>
        <v>0</v>
      </c>
      <c r="I90" s="6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spans="1:26" x14ac:dyDescent="0.2">
      <c r="A91" s="64"/>
      <c r="B91" s="95"/>
      <c r="C91" s="96"/>
      <c r="D91" s="72" t="str">
        <f>IF(B91=0," ",VLOOKUP(C91,Tabela!$A$3:$D$653,2,FALSE))</f>
        <v xml:space="preserve"> </v>
      </c>
      <c r="E91" s="73"/>
      <c r="F91" s="74">
        <f>IF(B91=0,0,VLOOKUP(C91,Tabela!$A$3:$D$653,4,FALSE))</f>
        <v>0</v>
      </c>
      <c r="G91" s="75">
        <f>IF(B91=0,0,VLOOKUP(C91,Tabela!$A$3:$D$653,3,FALSE))*IF($G$7="A VISTA",(100-$G$8)/100,1)</f>
        <v>0</v>
      </c>
      <c r="H91" s="76">
        <f t="shared" si="1"/>
        <v>0</v>
      </c>
      <c r="I91" s="6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spans="1:26" x14ac:dyDescent="0.2">
      <c r="A92" s="64"/>
      <c r="B92" s="95"/>
      <c r="C92" s="96"/>
      <c r="D92" s="72" t="str">
        <f>IF(B92=0," ",VLOOKUP(C92,Tabela!$A$3:$D$653,2,FALSE))</f>
        <v xml:space="preserve"> </v>
      </c>
      <c r="E92" s="73"/>
      <c r="F92" s="74">
        <f>IF(B92=0,0,VLOOKUP(C92,Tabela!$A$3:$D$653,4,FALSE))</f>
        <v>0</v>
      </c>
      <c r="G92" s="75">
        <f>IF(B92=0,0,VLOOKUP(C92,Tabela!$A$3:$D$653,3,FALSE))*IF($G$7="A VISTA",(100-$G$8)/100,1)</f>
        <v>0</v>
      </c>
      <c r="H92" s="76">
        <f t="shared" si="1"/>
        <v>0</v>
      </c>
      <c r="I92" s="6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spans="1:26" x14ac:dyDescent="0.2">
      <c r="B93" s="95"/>
      <c r="C93" s="96"/>
      <c r="D93" s="72" t="str">
        <f>IF(B93=0," ",VLOOKUP(C93,Tabela!$A$3:$D$653,2,FALSE))</f>
        <v xml:space="preserve"> </v>
      </c>
      <c r="E93" s="73"/>
      <c r="F93" s="74">
        <f>IF(B93=0,0,VLOOKUP(C93,Tabela!$A$3:$D$653,4,FALSE))</f>
        <v>0</v>
      </c>
      <c r="G93" s="75">
        <f>IF(B93=0,0,VLOOKUP(C93,Tabela!$A$3:$D$653,3,FALSE))*IF($G$7="A VISTA",(100-$G$8)/100,1)</f>
        <v>0</v>
      </c>
      <c r="H93" s="76">
        <f t="shared" si="1"/>
        <v>0</v>
      </c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spans="1:26" x14ac:dyDescent="0.2">
      <c r="B94" s="95"/>
      <c r="C94" s="96"/>
      <c r="D94" s="72" t="str">
        <f>IF(B94=0," ",VLOOKUP(C94,Tabela!$A$3:$D$653,2,FALSE))</f>
        <v xml:space="preserve"> </v>
      </c>
      <c r="E94" s="73"/>
      <c r="F94" s="74">
        <f>IF(B94=0,0,VLOOKUP(C94,Tabela!$A$3:$D$653,4,FALSE))</f>
        <v>0</v>
      </c>
      <c r="G94" s="75">
        <f>IF(B94=0,0,VLOOKUP(C94,Tabela!$A$3:$D$653,3,FALSE))*IF($G$7="A VISTA",(100-$G$8)/100,1)</f>
        <v>0</v>
      </c>
      <c r="H94" s="76">
        <f t="shared" si="1"/>
        <v>0</v>
      </c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spans="1:26" x14ac:dyDescent="0.2">
      <c r="B95" s="95"/>
      <c r="C95" s="96"/>
      <c r="D95" s="72" t="str">
        <f>IF(B95=0," ",VLOOKUP(C95,Tabela!$A$3:$D$653,2,FALSE))</f>
        <v xml:space="preserve"> </v>
      </c>
      <c r="E95" s="73"/>
      <c r="F95" s="74">
        <f>IF(B95=0,0,VLOOKUP(C95,Tabela!$A$3:$D$653,4,FALSE))</f>
        <v>0</v>
      </c>
      <c r="G95" s="75">
        <f>IF(B95=0,0,VLOOKUP(C95,Tabela!$A$3:$D$653,3,FALSE))*IF($G$7="A VISTA",(100-$G$8)/100,1)</f>
        <v>0</v>
      </c>
      <c r="H95" s="76">
        <f t="shared" si="1"/>
        <v>0</v>
      </c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spans="1:26" x14ac:dyDescent="0.2">
      <c r="B96" s="95"/>
      <c r="C96" s="96"/>
      <c r="D96" s="72" t="str">
        <f>IF(B96=0," ",VLOOKUP(C96,Tabela!$A$3:$D$653,2,FALSE))</f>
        <v xml:space="preserve"> </v>
      </c>
      <c r="E96" s="73"/>
      <c r="F96" s="74">
        <f>IF(B96=0,0,VLOOKUP(C96,Tabela!$A$3:$D$653,4,FALSE))</f>
        <v>0</v>
      </c>
      <c r="G96" s="75">
        <f>IF(B96=0,0,VLOOKUP(C96,Tabela!$A$3:$D$653,3,FALSE))*IF($G$7="A VISTA",(100-$G$8)/100,1)</f>
        <v>0</v>
      </c>
      <c r="H96" s="76">
        <f t="shared" si="1"/>
        <v>0</v>
      </c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spans="2:26" x14ac:dyDescent="0.2">
      <c r="B97" s="95"/>
      <c r="C97" s="96"/>
      <c r="D97" s="72" t="str">
        <f>IF(B97=0," ",VLOOKUP(C97,Tabela!$A$3:$D$653,2,FALSE))</f>
        <v xml:space="preserve"> </v>
      </c>
      <c r="E97" s="73"/>
      <c r="F97" s="74">
        <f>IF(B97=0,0,VLOOKUP(C97,Tabela!$A$3:$D$653,4,FALSE))</f>
        <v>0</v>
      </c>
      <c r="G97" s="75">
        <f>IF(B97=0,0,VLOOKUP(C97,Tabela!$A$3:$D$653,3,FALSE))*IF($G$7="A VISTA",(100-$G$8)/100,1)</f>
        <v>0</v>
      </c>
      <c r="H97" s="76">
        <f t="shared" si="1"/>
        <v>0</v>
      </c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spans="2:26" x14ac:dyDescent="0.2">
      <c r="B98" s="95"/>
      <c r="C98" s="96"/>
      <c r="D98" s="72" t="str">
        <f>IF(B98=0," ",VLOOKUP(C98,Tabela!$A$3:$D$653,2,FALSE))</f>
        <v xml:space="preserve"> </v>
      </c>
      <c r="E98" s="73"/>
      <c r="F98" s="74">
        <f>IF(B98=0,0,VLOOKUP(C98,Tabela!$A$3:$D$653,4,FALSE))</f>
        <v>0</v>
      </c>
      <c r="G98" s="75">
        <f>IF(B98=0,0,VLOOKUP(C98,Tabela!$A$3:$D$653,3,FALSE))*IF($G$7="A VISTA",(100-$G$8)/100,1)</f>
        <v>0</v>
      </c>
      <c r="H98" s="76">
        <f t="shared" si="1"/>
        <v>0</v>
      </c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spans="2:26" x14ac:dyDescent="0.2">
      <c r="B99" s="95"/>
      <c r="C99" s="96"/>
      <c r="D99" s="72" t="str">
        <f>IF(B99=0," ",VLOOKUP(C99,Tabela!$A$3:$D$653,2,FALSE))</f>
        <v xml:space="preserve"> </v>
      </c>
      <c r="E99" s="73"/>
      <c r="F99" s="74">
        <f>IF(B99=0,0,VLOOKUP(C99,Tabela!$A$3:$D$653,4,FALSE))</f>
        <v>0</v>
      </c>
      <c r="G99" s="75">
        <f>IF(B99=0,0,VLOOKUP(C99,Tabela!$A$3:$D$653,3,FALSE))*IF($G$7="A VISTA",(100-$G$8)/100,1)</f>
        <v>0</v>
      </c>
      <c r="H99" s="76">
        <f t="shared" si="1"/>
        <v>0</v>
      </c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spans="2:26" x14ac:dyDescent="0.2">
      <c r="B100" s="95"/>
      <c r="C100" s="96"/>
      <c r="D100" s="72" t="str">
        <f>IF(B100=0," ",VLOOKUP(C100,Tabela!$A$3:$D$653,2,FALSE))</f>
        <v xml:space="preserve"> </v>
      </c>
      <c r="E100" s="73"/>
      <c r="F100" s="74">
        <f>IF(B100=0,0,VLOOKUP(C100,Tabela!$A$3:$D$653,4,FALSE))</f>
        <v>0</v>
      </c>
      <c r="G100" s="75">
        <f>IF(B100=0,0,VLOOKUP(C100,Tabela!$A$3:$D$653,3,FALSE))*IF($G$7="A VISTA",(100-$G$8)/100,1)</f>
        <v>0</v>
      </c>
      <c r="H100" s="76">
        <f t="shared" si="1"/>
        <v>0</v>
      </c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spans="2:26" x14ac:dyDescent="0.2">
      <c r="B101" s="95"/>
      <c r="C101" s="96"/>
      <c r="D101" s="72" t="str">
        <f>IF(B101=0," ",VLOOKUP(C101,Tabela!$A$3:$D$653,2,FALSE))</f>
        <v xml:space="preserve"> </v>
      </c>
      <c r="E101" s="73"/>
      <c r="F101" s="74">
        <f>IF(B101=0,0,VLOOKUP(C101,Tabela!$A$3:$D$653,4,FALSE))</f>
        <v>0</v>
      </c>
      <c r="G101" s="75">
        <f>IF(B101=0,0,VLOOKUP(C101,Tabela!$A$3:$D$653,3,FALSE))*IF($G$7="A VISTA",(100-$G$8)/100,1)</f>
        <v>0</v>
      </c>
      <c r="H101" s="76">
        <f t="shared" si="1"/>
        <v>0</v>
      </c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spans="2:26" x14ac:dyDescent="0.2">
      <c r="B102" s="95"/>
      <c r="C102" s="96"/>
      <c r="D102" s="72" t="str">
        <f>IF(B102=0," ",VLOOKUP(C102,Tabela!$A$3:$D$653,2,FALSE))</f>
        <v xml:space="preserve"> </v>
      </c>
      <c r="E102" s="73"/>
      <c r="F102" s="74">
        <f>IF(B102=0,0,VLOOKUP(C102,Tabela!$A$3:$D$653,4,FALSE))</f>
        <v>0</v>
      </c>
      <c r="G102" s="75">
        <f>IF(B102=0,0,VLOOKUP(C102,Tabela!$A$3:$D$653,3,FALSE))*IF($G$7="A VISTA",(100-$G$8)/100,1)</f>
        <v>0</v>
      </c>
      <c r="H102" s="76">
        <f t="shared" si="1"/>
        <v>0</v>
      </c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spans="2:26" x14ac:dyDescent="0.2">
      <c r="B103" s="95"/>
      <c r="C103" s="96"/>
      <c r="D103" s="72" t="str">
        <f>IF(B103=0," ",VLOOKUP(C103,Tabela!$A$3:$D$653,2,FALSE))</f>
        <v xml:space="preserve"> </v>
      </c>
      <c r="E103" s="73"/>
      <c r="F103" s="74">
        <f>IF(B103=0,0,VLOOKUP(C103,Tabela!$A$3:$D$653,4,FALSE))</f>
        <v>0</v>
      </c>
      <c r="G103" s="75">
        <f>IF(B103=0,0,VLOOKUP(C103,Tabela!$A$3:$D$653,3,FALSE))*IF($G$7="A VISTA",(100-$G$8)/100,1)</f>
        <v>0</v>
      </c>
      <c r="H103" s="76">
        <f t="shared" si="1"/>
        <v>0</v>
      </c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spans="2:26" x14ac:dyDescent="0.2">
      <c r="B104" s="95"/>
      <c r="C104" s="96"/>
      <c r="D104" s="72" t="str">
        <f>IF(B104=0," ",VLOOKUP(C104,Tabela!$A$3:$D$653,2,FALSE))</f>
        <v xml:space="preserve"> </v>
      </c>
      <c r="E104" s="73"/>
      <c r="F104" s="74">
        <f>IF(B104=0,0,VLOOKUP(C104,Tabela!$A$3:$D$653,4,FALSE))</f>
        <v>0</v>
      </c>
      <c r="G104" s="75">
        <f>IF(B104=0,0,VLOOKUP(C104,Tabela!$A$3:$D$653,3,FALSE))*IF($G$7="A VISTA",(100-$G$8)/100,1)</f>
        <v>0</v>
      </c>
      <c r="H104" s="76">
        <f t="shared" si="1"/>
        <v>0</v>
      </c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spans="2:26" x14ac:dyDescent="0.2">
      <c r="B105" s="95"/>
      <c r="C105" s="96"/>
      <c r="D105" s="72" t="str">
        <f>IF(B105=0," ",VLOOKUP(C105,Tabela!$A$3:$D$653,2,FALSE))</f>
        <v xml:space="preserve"> </v>
      </c>
      <c r="E105" s="73"/>
      <c r="F105" s="74">
        <f>IF(B105=0,0,VLOOKUP(C105,Tabela!$A$3:$D$653,4,FALSE))</f>
        <v>0</v>
      </c>
      <c r="G105" s="75">
        <f>IF(B105=0,0,VLOOKUP(C105,Tabela!$A$3:$D$653,3,FALSE))*IF($G$7="A VISTA",(100-$G$8)/100,1)</f>
        <v>0</v>
      </c>
      <c r="H105" s="76">
        <f t="shared" si="1"/>
        <v>0</v>
      </c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spans="2:26" x14ac:dyDescent="0.2">
      <c r="B106" s="95"/>
      <c r="C106" s="96"/>
      <c r="D106" s="72" t="str">
        <f>IF(B106=0," ",VLOOKUP(C106,Tabela!$A$3:$D$653,2,FALSE))</f>
        <v xml:space="preserve"> </v>
      </c>
      <c r="E106" s="73"/>
      <c r="F106" s="74">
        <f>IF(B106=0,0,VLOOKUP(C106,Tabela!$A$3:$D$653,4,FALSE))</f>
        <v>0</v>
      </c>
      <c r="G106" s="75">
        <f>IF(B106=0,0,VLOOKUP(C106,Tabela!$A$3:$D$653,3,FALSE))*IF($G$7="A VISTA",(100-$G$8)/100,1)</f>
        <v>0</v>
      </c>
      <c r="H106" s="76">
        <f t="shared" si="1"/>
        <v>0</v>
      </c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spans="2:26" x14ac:dyDescent="0.2">
      <c r="B107" s="95"/>
      <c r="C107" s="96"/>
      <c r="D107" s="72" t="str">
        <f>IF(B107=0," ",VLOOKUP(C107,Tabela!$A$3:$D$653,2,FALSE))</f>
        <v xml:space="preserve"> </v>
      </c>
      <c r="E107" s="73"/>
      <c r="F107" s="74">
        <f>IF(B107=0,0,VLOOKUP(C107,Tabela!$A$3:$D$653,4,FALSE))</f>
        <v>0</v>
      </c>
      <c r="G107" s="75">
        <f>IF(B107=0,0,VLOOKUP(C107,Tabela!$A$3:$D$653,3,FALSE))*IF($G$7="A VISTA",(100-$G$8)/100,1)</f>
        <v>0</v>
      </c>
      <c r="H107" s="76">
        <f t="shared" si="1"/>
        <v>0</v>
      </c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spans="2:26" x14ac:dyDescent="0.2">
      <c r="B108" s="95"/>
      <c r="C108" s="96"/>
      <c r="D108" s="72" t="str">
        <f>IF(B108=0," ",VLOOKUP(C108,Tabela!$A$3:$D$653,2,FALSE))</f>
        <v xml:space="preserve"> </v>
      </c>
      <c r="E108" s="73"/>
      <c r="F108" s="74">
        <f>IF(B108=0,0,VLOOKUP(C108,Tabela!$A$3:$D$653,4,FALSE))</f>
        <v>0</v>
      </c>
      <c r="G108" s="75">
        <f>IF(B108=0,0,VLOOKUP(C108,Tabela!$A$3:$D$653,3,FALSE))*IF($G$7="A VISTA",(100-$G$8)/100,1)</f>
        <v>0</v>
      </c>
      <c r="H108" s="76">
        <f t="shared" si="1"/>
        <v>0</v>
      </c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spans="2:26" x14ac:dyDescent="0.2">
      <c r="B109" s="95"/>
      <c r="C109" s="96"/>
      <c r="D109" s="72" t="str">
        <f>IF(B109=0," ",VLOOKUP(C109,Tabela!$A$3:$D$653,2,FALSE))</f>
        <v xml:space="preserve"> </v>
      </c>
      <c r="E109" s="73"/>
      <c r="F109" s="74">
        <f>IF(B109=0,0,VLOOKUP(C109,Tabela!$A$3:$D$653,4,FALSE))</f>
        <v>0</v>
      </c>
      <c r="G109" s="75">
        <f>IF(B109=0,0,VLOOKUP(C109,Tabela!$A$3:$D$653,3,FALSE))*IF($G$7="A VISTA",(100-$G$8)/100,1)</f>
        <v>0</v>
      </c>
      <c r="H109" s="76">
        <f t="shared" si="1"/>
        <v>0</v>
      </c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spans="2:26" x14ac:dyDescent="0.2">
      <c r="B110" s="95"/>
      <c r="C110" s="96"/>
      <c r="D110" s="72" t="str">
        <f>IF(B110=0," ",VLOOKUP(C110,Tabela!$A$3:$D$653,2,FALSE))</f>
        <v xml:space="preserve"> </v>
      </c>
      <c r="E110" s="73"/>
      <c r="F110" s="74">
        <f>IF(B110=0,0,VLOOKUP(C110,Tabela!$A$3:$D$653,4,FALSE))</f>
        <v>0</v>
      </c>
      <c r="G110" s="75">
        <f>IF(B110=0,0,VLOOKUP(C110,Tabela!$A$3:$D$653,3,FALSE))*IF($G$7="A VISTA",(100-$G$8)/100,1)</f>
        <v>0</v>
      </c>
      <c r="H110" s="76">
        <f t="shared" si="1"/>
        <v>0</v>
      </c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spans="2:26" x14ac:dyDescent="0.2">
      <c r="B111" s="95"/>
      <c r="C111" s="96"/>
      <c r="D111" s="72" t="str">
        <f>IF(B111=0," ",VLOOKUP(C111,Tabela!$A$3:$D$653,2,FALSE))</f>
        <v xml:space="preserve"> </v>
      </c>
      <c r="E111" s="73"/>
      <c r="F111" s="74">
        <f>IF(B111=0,0,VLOOKUP(C111,Tabela!$A$3:$D$653,4,FALSE))</f>
        <v>0</v>
      </c>
      <c r="G111" s="75">
        <f>IF(B111=0,0,VLOOKUP(C111,Tabela!$A$3:$D$653,3,FALSE))*IF($G$7="A VISTA",(100-$G$8)/100,1)</f>
        <v>0</v>
      </c>
      <c r="H111" s="76">
        <f t="shared" si="1"/>
        <v>0</v>
      </c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spans="2:26" x14ac:dyDescent="0.2">
      <c r="B112" s="95"/>
      <c r="C112" s="96"/>
      <c r="D112" s="72" t="str">
        <f>IF(B112=0," ",VLOOKUP(C112,Tabela!$A$3:$D$653,2,FALSE))</f>
        <v xml:space="preserve"> </v>
      </c>
      <c r="E112" s="73"/>
      <c r="F112" s="74">
        <f>IF(B112=0,0,VLOOKUP(C112,Tabela!$A$3:$D$653,4,FALSE))</f>
        <v>0</v>
      </c>
      <c r="G112" s="75">
        <f>IF(B112=0,0,VLOOKUP(C112,Tabela!$A$3:$D$653,3,FALSE))*IF($G$7="A VISTA",(100-$G$8)/100,1)</f>
        <v>0</v>
      </c>
      <c r="H112" s="76">
        <f t="shared" si="1"/>
        <v>0</v>
      </c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spans="2:26" x14ac:dyDescent="0.2">
      <c r="B113" s="95"/>
      <c r="C113" s="96"/>
      <c r="D113" s="72" t="str">
        <f>IF(B113=0," ",VLOOKUP(C113,Tabela!$A$3:$D$653,2,FALSE))</f>
        <v xml:space="preserve"> </v>
      </c>
      <c r="E113" s="73"/>
      <c r="F113" s="74">
        <f>IF(B113=0,0,VLOOKUP(C113,Tabela!$A$3:$D$653,4,FALSE))</f>
        <v>0</v>
      </c>
      <c r="G113" s="75">
        <f>IF(B113=0,0,VLOOKUP(C113,Tabela!$A$3:$D$653,3,FALSE))*IF($G$7="A VISTA",(100-$G$8)/100,1)</f>
        <v>0</v>
      </c>
      <c r="H113" s="76">
        <f t="shared" si="1"/>
        <v>0</v>
      </c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spans="2:26" x14ac:dyDescent="0.2">
      <c r="B114" s="95"/>
      <c r="C114" s="96"/>
      <c r="D114" s="72" t="str">
        <f>IF(B114=0," ",VLOOKUP(C114,Tabela!$A$3:$D$653,2,FALSE))</f>
        <v xml:space="preserve"> </v>
      </c>
      <c r="E114" s="73"/>
      <c r="F114" s="74">
        <f>IF(B114=0,0,VLOOKUP(C114,Tabela!$A$3:$D$653,4,FALSE))</f>
        <v>0</v>
      </c>
      <c r="G114" s="75">
        <f>IF(B114=0,0,VLOOKUP(C114,Tabela!$A$3:$D$653,3,FALSE))*IF($G$7="A VISTA",(100-$G$8)/100,1)</f>
        <v>0</v>
      </c>
      <c r="H114" s="76">
        <f t="shared" si="1"/>
        <v>0</v>
      </c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spans="2:26" x14ac:dyDescent="0.2">
      <c r="B115" s="95"/>
      <c r="C115" s="96"/>
      <c r="D115" s="72" t="str">
        <f>IF(B115=0," ",VLOOKUP(C115,Tabela!$A$3:$D$653,2,FALSE))</f>
        <v xml:space="preserve"> </v>
      </c>
      <c r="E115" s="73"/>
      <c r="F115" s="74">
        <f>IF(B115=0,0,VLOOKUP(C115,Tabela!$A$3:$D$653,4,FALSE))</f>
        <v>0</v>
      </c>
      <c r="G115" s="75">
        <f>IF(B115=0,0,VLOOKUP(C115,Tabela!$A$3:$D$653,3,FALSE))*IF($G$7="A VISTA",(100-$G$8)/100,1)</f>
        <v>0</v>
      </c>
      <c r="H115" s="76">
        <f t="shared" si="1"/>
        <v>0</v>
      </c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spans="2:26" x14ac:dyDescent="0.2">
      <c r="B116" s="95"/>
      <c r="C116" s="96"/>
      <c r="D116" s="72" t="str">
        <f>IF(B116=0," ",VLOOKUP(C116,Tabela!$A$3:$D$653,2,FALSE))</f>
        <v xml:space="preserve"> </v>
      </c>
      <c r="E116" s="73"/>
      <c r="F116" s="74">
        <f>IF(B116=0,0,VLOOKUP(C116,Tabela!$A$3:$D$653,4,FALSE))</f>
        <v>0</v>
      </c>
      <c r="G116" s="75">
        <f>IF(B116=0,0,VLOOKUP(C116,Tabela!$A$3:$D$653,3,FALSE))*IF($G$7="A VISTA",(100-$G$8)/100,1)</f>
        <v>0</v>
      </c>
      <c r="H116" s="76">
        <f t="shared" si="1"/>
        <v>0</v>
      </c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spans="2:26" x14ac:dyDescent="0.2">
      <c r="B117" s="95"/>
      <c r="C117" s="96"/>
      <c r="D117" s="72" t="str">
        <f>IF(B117=0," ",VLOOKUP(C117,Tabela!$A$3:$D$653,2,FALSE))</f>
        <v xml:space="preserve"> </v>
      </c>
      <c r="E117" s="73"/>
      <c r="F117" s="74">
        <f>IF(B117=0,0,VLOOKUP(C117,Tabela!$A$3:$D$653,4,FALSE))</f>
        <v>0</v>
      </c>
      <c r="G117" s="75">
        <f>IF(B117=0,0,VLOOKUP(C117,Tabela!$A$3:$D$653,3,FALSE))*IF($G$7="A VISTA",(100-$G$8)/100,1)</f>
        <v>0</v>
      </c>
      <c r="H117" s="76">
        <f t="shared" si="1"/>
        <v>0</v>
      </c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spans="2:26" x14ac:dyDescent="0.2">
      <c r="B118" s="95"/>
      <c r="C118" s="96"/>
      <c r="D118" s="72" t="str">
        <f>IF(B118=0," ",VLOOKUP(C118,Tabela!$A$3:$D$653,2,FALSE))</f>
        <v xml:space="preserve"> </v>
      </c>
      <c r="E118" s="73"/>
      <c r="F118" s="74">
        <f>IF(B118=0,0,VLOOKUP(C118,Tabela!$A$3:$D$653,4,FALSE))</f>
        <v>0</v>
      </c>
      <c r="G118" s="75">
        <f>IF(B118=0,0,VLOOKUP(C118,Tabela!$A$3:$D$653,3,FALSE))*IF($G$7="A VISTA",(100-$G$8)/100,1)</f>
        <v>0</v>
      </c>
      <c r="H118" s="76">
        <f t="shared" si="1"/>
        <v>0</v>
      </c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spans="2:26" x14ac:dyDescent="0.2">
      <c r="B119" s="95"/>
      <c r="C119" s="96"/>
      <c r="D119" s="72" t="str">
        <f>IF(B119=0," ",VLOOKUP(C119,Tabela!$A$3:$D$653,2,FALSE))</f>
        <v xml:space="preserve"> </v>
      </c>
      <c r="E119" s="73"/>
      <c r="F119" s="74">
        <f>IF(B119=0,0,VLOOKUP(C119,Tabela!$A$3:$D$653,4,FALSE))</f>
        <v>0</v>
      </c>
      <c r="G119" s="75">
        <f>IF(B119=0,0,VLOOKUP(C119,Tabela!$A$3:$D$653,3,FALSE))*IF($G$7="A VISTA",(100-$G$8)/100,1)</f>
        <v>0</v>
      </c>
      <c r="H119" s="76">
        <f t="shared" si="1"/>
        <v>0</v>
      </c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spans="2:26" x14ac:dyDescent="0.2">
      <c r="B120" s="95"/>
      <c r="C120" s="96"/>
      <c r="D120" s="72" t="str">
        <f>IF(B120=0," ",VLOOKUP(C120,Tabela!$A$3:$D$653,2,FALSE))</f>
        <v xml:space="preserve"> </v>
      </c>
      <c r="E120" s="73"/>
      <c r="F120" s="74">
        <f>IF(B120=0,0,VLOOKUP(C120,Tabela!$A$3:$D$653,4,FALSE))</f>
        <v>0</v>
      </c>
      <c r="G120" s="75">
        <f>IF(B120=0,0,VLOOKUP(C120,Tabela!$A$3:$D$653,3,FALSE))*IF($G$7="A VISTA",(100-$G$8)/100,1)</f>
        <v>0</v>
      </c>
      <c r="H120" s="76">
        <f t="shared" si="1"/>
        <v>0</v>
      </c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spans="2:26" x14ac:dyDescent="0.2">
      <c r="B121" s="95"/>
      <c r="C121" s="96"/>
      <c r="D121" s="72" t="str">
        <f>IF(B121=0," ",VLOOKUP(C121,Tabela!$A$3:$D$653,2,FALSE))</f>
        <v xml:space="preserve"> </v>
      </c>
      <c r="E121" s="73"/>
      <c r="F121" s="74">
        <f>IF(B121=0,0,VLOOKUP(C121,Tabela!$A$3:$D$653,4,FALSE))</f>
        <v>0</v>
      </c>
      <c r="G121" s="75">
        <f>IF(B121=0,0,VLOOKUP(C121,Tabela!$A$3:$D$653,3,FALSE))*IF($G$7="A VISTA",(100-$G$8)/100,1)</f>
        <v>0</v>
      </c>
      <c r="H121" s="76">
        <f t="shared" si="1"/>
        <v>0</v>
      </c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spans="2:26" x14ac:dyDescent="0.2">
      <c r="B122" s="95"/>
      <c r="C122" s="96"/>
      <c r="D122" s="72" t="str">
        <f>IF(B122=0," ",VLOOKUP(C122,Tabela!$A$3:$D$653,2,FALSE))</f>
        <v xml:space="preserve"> </v>
      </c>
      <c r="E122" s="73"/>
      <c r="F122" s="74">
        <f>IF(B122=0,0,VLOOKUP(C122,Tabela!$A$3:$D$653,4,FALSE))</f>
        <v>0</v>
      </c>
      <c r="G122" s="75">
        <f>IF(B122=0,0,VLOOKUP(C122,Tabela!$A$3:$D$653,3,FALSE))*IF($G$7="A VISTA",(100-$G$8)/100,1)</f>
        <v>0</v>
      </c>
      <c r="H122" s="76">
        <f t="shared" si="1"/>
        <v>0</v>
      </c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spans="2:26" x14ac:dyDescent="0.2">
      <c r="B123" s="95"/>
      <c r="C123" s="96"/>
      <c r="D123" s="72" t="str">
        <f>IF(B123=0," ",VLOOKUP(C123,Tabela!$A$3:$D$653,2,FALSE))</f>
        <v xml:space="preserve"> </v>
      </c>
      <c r="E123" s="73"/>
      <c r="F123" s="74">
        <f>IF(B123=0,0,VLOOKUP(C123,Tabela!$A$3:$D$653,4,FALSE))</f>
        <v>0</v>
      </c>
      <c r="G123" s="75">
        <f>IF(B123=0,0,VLOOKUP(C123,Tabela!$A$3:$D$653,3,FALSE))*IF($G$7="A VISTA",(100-$G$8)/100,1)</f>
        <v>0</v>
      </c>
      <c r="H123" s="76">
        <f t="shared" si="1"/>
        <v>0</v>
      </c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spans="2:26" x14ac:dyDescent="0.2">
      <c r="B124" s="95"/>
      <c r="C124" s="96"/>
      <c r="D124" s="72" t="str">
        <f>IF(B124=0," ",VLOOKUP(C124,Tabela!$A$3:$D$653,2,FALSE))</f>
        <v xml:space="preserve"> </v>
      </c>
      <c r="E124" s="73"/>
      <c r="F124" s="74">
        <f>IF(B124=0,0,VLOOKUP(C124,Tabela!$A$3:$D$653,4,FALSE))</f>
        <v>0</v>
      </c>
      <c r="G124" s="75">
        <f>IF(B124=0,0,VLOOKUP(C124,Tabela!$A$3:$D$653,3,FALSE))*IF($G$7="A VISTA",(100-$G$8)/100,1)</f>
        <v>0</v>
      </c>
      <c r="H124" s="76">
        <f t="shared" si="1"/>
        <v>0</v>
      </c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spans="2:26" x14ac:dyDescent="0.2">
      <c r="B125" s="95"/>
      <c r="C125" s="96"/>
      <c r="D125" s="72" t="str">
        <f>IF(B125=0," ",VLOOKUP(C125,Tabela!$A$3:$D$653,2,FALSE))</f>
        <v xml:space="preserve"> </v>
      </c>
      <c r="E125" s="73"/>
      <c r="F125" s="74">
        <f>IF(B125=0,0,VLOOKUP(C125,Tabela!$A$3:$D$653,4,FALSE))</f>
        <v>0</v>
      </c>
      <c r="G125" s="75">
        <f>IF(B125=0,0,VLOOKUP(C125,Tabela!$A$3:$D$653,3,FALSE))*IF($G$7="A VISTA",(100-$G$8)/100,1)</f>
        <v>0</v>
      </c>
      <c r="H125" s="76">
        <f t="shared" si="1"/>
        <v>0</v>
      </c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spans="2:26" x14ac:dyDescent="0.2">
      <c r="B126" s="95"/>
      <c r="C126" s="96"/>
      <c r="D126" s="72" t="str">
        <f>IF(B126=0," ",VLOOKUP(C126,Tabela!$A$3:$D$653,2,FALSE))</f>
        <v xml:space="preserve"> </v>
      </c>
      <c r="E126" s="73"/>
      <c r="F126" s="74">
        <f>IF(B126=0,0,VLOOKUP(C126,Tabela!$A$3:$D$653,4,FALSE))</f>
        <v>0</v>
      </c>
      <c r="G126" s="75">
        <f>IF(B126=0,0,VLOOKUP(C126,Tabela!$A$3:$D$653,3,FALSE))*IF($G$7="A VISTA",(100-$G$8)/100,1)</f>
        <v>0</v>
      </c>
      <c r="H126" s="76">
        <f t="shared" si="1"/>
        <v>0</v>
      </c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spans="2:26" x14ac:dyDescent="0.2">
      <c r="B127" s="95"/>
      <c r="C127" s="96"/>
      <c r="D127" s="72" t="str">
        <f>IF(B127=0," ",VLOOKUP(C127,Tabela!$A$3:$D$653,2,FALSE))</f>
        <v xml:space="preserve"> </v>
      </c>
      <c r="E127" s="73"/>
      <c r="F127" s="74">
        <f>IF(B127=0,0,VLOOKUP(C127,Tabela!$A$3:$D$653,4,FALSE))</f>
        <v>0</v>
      </c>
      <c r="G127" s="75">
        <f>IF(B127=0,0,VLOOKUP(C127,Tabela!$A$3:$D$653,3,FALSE))*IF($G$7="A VISTA",(100-$G$8)/100,1)</f>
        <v>0</v>
      </c>
      <c r="H127" s="76">
        <f t="shared" si="1"/>
        <v>0</v>
      </c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spans="2:26" x14ac:dyDescent="0.2">
      <c r="B128" s="95"/>
      <c r="C128" s="96"/>
      <c r="D128" s="72" t="str">
        <f>IF(B128=0," ",VLOOKUP(C128,Tabela!$A$3:$D$653,2,FALSE))</f>
        <v xml:space="preserve"> </v>
      </c>
      <c r="E128" s="73"/>
      <c r="F128" s="74">
        <f>IF(B128=0,0,VLOOKUP(C128,Tabela!$A$3:$D$653,4,FALSE))</f>
        <v>0</v>
      </c>
      <c r="G128" s="75">
        <f>IF(B128=0,0,VLOOKUP(C128,Tabela!$A$3:$D$653,3,FALSE))*IF($G$7="A VISTA",(100-$G$8)/100,1)</f>
        <v>0</v>
      </c>
      <c r="H128" s="76">
        <f t="shared" si="1"/>
        <v>0</v>
      </c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spans="2:26" x14ac:dyDescent="0.2">
      <c r="B129" s="95"/>
      <c r="C129" s="96"/>
      <c r="D129" s="72" t="str">
        <f>IF(B129=0," ",VLOOKUP(C129,Tabela!$A$3:$D$653,2,FALSE))</f>
        <v xml:space="preserve"> </v>
      </c>
      <c r="E129" s="73"/>
      <c r="F129" s="74">
        <f>IF(B129=0,0,VLOOKUP(C129,Tabela!$A$3:$D$653,4,FALSE))</f>
        <v>0</v>
      </c>
      <c r="G129" s="75">
        <f>IF(B129=0,0,VLOOKUP(C129,Tabela!$A$3:$D$653,3,FALSE))*IF($G$7="A VISTA",(100-$G$8)/100,1)</f>
        <v>0</v>
      </c>
      <c r="H129" s="76">
        <f t="shared" si="1"/>
        <v>0</v>
      </c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spans="2:26" x14ac:dyDescent="0.2">
      <c r="B130" s="95"/>
      <c r="C130" s="96"/>
      <c r="D130" s="72" t="str">
        <f>IF(B130=0," ",VLOOKUP(C130,Tabela!$A$3:$D$653,2,FALSE))</f>
        <v xml:space="preserve"> </v>
      </c>
      <c r="E130" s="73"/>
      <c r="F130" s="74">
        <f>IF(B130=0,0,VLOOKUP(C130,Tabela!$A$3:$D$653,4,FALSE))</f>
        <v>0</v>
      </c>
      <c r="G130" s="75">
        <f>IF(B130=0,0,VLOOKUP(C130,Tabela!$A$3:$D$653,3,FALSE))*IF($G$7="A VISTA",(100-$G$8)/100,1)</f>
        <v>0</v>
      </c>
      <c r="H130" s="76">
        <f t="shared" si="1"/>
        <v>0</v>
      </c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spans="2:26" x14ac:dyDescent="0.2">
      <c r="B131" s="95"/>
      <c r="C131" s="96"/>
      <c r="D131" s="72" t="str">
        <f>IF(B131=0," ",VLOOKUP(C131,Tabela!$A$3:$D$653,2,FALSE))</f>
        <v xml:space="preserve"> </v>
      </c>
      <c r="E131" s="73"/>
      <c r="F131" s="74">
        <f>IF(B131=0,0,VLOOKUP(C131,Tabela!$A$3:$D$653,4,FALSE))</f>
        <v>0</v>
      </c>
      <c r="G131" s="75">
        <f>IF(B131=0,0,VLOOKUP(C131,Tabela!$A$3:$D$653,3,FALSE))*IF($G$7="A VISTA",(100-$G$8)/100,1)</f>
        <v>0</v>
      </c>
      <c r="H131" s="76">
        <f t="shared" si="1"/>
        <v>0</v>
      </c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spans="2:26" x14ac:dyDescent="0.2">
      <c r="B132" s="95"/>
      <c r="C132" s="96"/>
      <c r="D132" s="72" t="str">
        <f>IF(B132=0," ",VLOOKUP(C132,Tabela!$A$3:$D$653,2,FALSE))</f>
        <v xml:space="preserve"> </v>
      </c>
      <c r="E132" s="73"/>
      <c r="F132" s="74">
        <f>IF(B132=0,0,VLOOKUP(C132,Tabela!$A$3:$D$653,4,FALSE))</f>
        <v>0</v>
      </c>
      <c r="G132" s="75">
        <f>IF(B132=0,0,VLOOKUP(C132,Tabela!$A$3:$D$653,3,FALSE))*IF($G$7="A VISTA",(100-$G$8)/100,1)</f>
        <v>0</v>
      </c>
      <c r="H132" s="76">
        <f t="shared" si="1"/>
        <v>0</v>
      </c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spans="2:26" x14ac:dyDescent="0.2">
      <c r="B133" s="95"/>
      <c r="C133" s="96"/>
      <c r="D133" s="72" t="str">
        <f>IF(B133=0," ",VLOOKUP(C133,Tabela!$A$3:$D$653,2,FALSE))</f>
        <v xml:space="preserve"> </v>
      </c>
      <c r="E133" s="73"/>
      <c r="F133" s="74">
        <f>IF(B133=0,0,VLOOKUP(C133,Tabela!$A$3:$D$653,4,FALSE))</f>
        <v>0</v>
      </c>
      <c r="G133" s="75">
        <f>IF(B133=0,0,VLOOKUP(C133,Tabela!$A$3:$D$653,3,FALSE))*IF($G$7="A VISTA",(100-$G$8)/100,1)</f>
        <v>0</v>
      </c>
      <c r="H133" s="76">
        <f t="shared" si="1"/>
        <v>0</v>
      </c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spans="2:26" x14ac:dyDescent="0.2">
      <c r="B134" s="95"/>
      <c r="C134" s="96"/>
      <c r="D134" s="72" t="str">
        <f>IF(B134=0," ",VLOOKUP(C134,Tabela!$A$3:$D$653,2,FALSE))</f>
        <v xml:space="preserve"> </v>
      </c>
      <c r="E134" s="73"/>
      <c r="F134" s="74">
        <f>IF(B134=0,0,VLOOKUP(C134,Tabela!$A$3:$D$653,4,FALSE))</f>
        <v>0</v>
      </c>
      <c r="G134" s="75">
        <f>IF(B134=0,0,VLOOKUP(C134,Tabela!$A$3:$D$653,3,FALSE))*IF($G$7="A VISTA",(100-$G$8)/100,1)</f>
        <v>0</v>
      </c>
      <c r="H134" s="76">
        <f t="shared" si="1"/>
        <v>0</v>
      </c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spans="2:26" x14ac:dyDescent="0.2">
      <c r="B135" s="95"/>
      <c r="C135" s="96"/>
      <c r="D135" s="72" t="str">
        <f>IF(B135=0," ",VLOOKUP(C135,Tabela!$A$3:$D$653,2,FALSE))</f>
        <v xml:space="preserve"> </v>
      </c>
      <c r="E135" s="73"/>
      <c r="F135" s="74">
        <f>IF(B135=0,0,VLOOKUP(C135,Tabela!$A$3:$D$653,4,FALSE))</f>
        <v>0</v>
      </c>
      <c r="G135" s="75">
        <f>IF(B135=0,0,VLOOKUP(C135,Tabela!$A$3:$D$653,3,FALSE))*IF($G$7="A VISTA",(100-$G$8)/100,1)</f>
        <v>0</v>
      </c>
      <c r="H135" s="76">
        <f t="shared" si="1"/>
        <v>0</v>
      </c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spans="2:26" x14ac:dyDescent="0.2">
      <c r="B136" s="95"/>
      <c r="C136" s="96"/>
      <c r="D136" s="72" t="str">
        <f>IF(B136=0," ",VLOOKUP(C136,Tabela!$A$3:$D$653,2,FALSE))</f>
        <v xml:space="preserve"> </v>
      </c>
      <c r="E136" s="73"/>
      <c r="F136" s="74">
        <f>IF(B136=0,0,VLOOKUP(C136,Tabela!$A$3:$D$653,4,FALSE))</f>
        <v>0</v>
      </c>
      <c r="G136" s="75">
        <f>IF(B136=0,0,VLOOKUP(C136,Tabela!$A$3:$D$653,3,FALSE))*IF($G$7="A VISTA",(100-$G$8)/100,1)</f>
        <v>0</v>
      </c>
      <c r="H136" s="76">
        <f t="shared" si="1"/>
        <v>0</v>
      </c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spans="2:26" x14ac:dyDescent="0.2">
      <c r="B137" s="95"/>
      <c r="C137" s="96"/>
      <c r="D137" s="72" t="str">
        <f>IF(B137=0," ",VLOOKUP(C137,Tabela!$A$3:$D$653,2,FALSE))</f>
        <v xml:space="preserve"> </v>
      </c>
      <c r="E137" s="73"/>
      <c r="F137" s="74">
        <f>IF(B137=0,0,VLOOKUP(C137,Tabela!$A$3:$D$653,4,FALSE))</f>
        <v>0</v>
      </c>
      <c r="G137" s="75">
        <f>IF(B137=0,0,VLOOKUP(C137,Tabela!$A$3:$D$653,3,FALSE))*IF($G$7="A VISTA",(100-$G$8)/100,1)</f>
        <v>0</v>
      </c>
      <c r="H137" s="76">
        <f t="shared" si="1"/>
        <v>0</v>
      </c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spans="2:26" x14ac:dyDescent="0.2">
      <c r="B138" s="95"/>
      <c r="C138" s="96"/>
      <c r="D138" s="72" t="str">
        <f>IF(B138=0," ",VLOOKUP(C138,Tabela!$A$3:$D$653,2,FALSE))</f>
        <v xml:space="preserve"> </v>
      </c>
      <c r="E138" s="73"/>
      <c r="F138" s="74">
        <f>IF(B138=0,0,VLOOKUP(C138,Tabela!$A$3:$D$653,4,FALSE))</f>
        <v>0</v>
      </c>
      <c r="G138" s="75">
        <f>IF(B138=0,0,VLOOKUP(C138,Tabela!$A$3:$D$653,3,FALSE))*IF($G$7="A VISTA",(100-$G$8)/100,1)</f>
        <v>0</v>
      </c>
      <c r="H138" s="76">
        <f t="shared" si="1"/>
        <v>0</v>
      </c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spans="2:26" x14ac:dyDescent="0.2">
      <c r="B139" s="95"/>
      <c r="C139" s="96"/>
      <c r="D139" s="72" t="str">
        <f>IF(B139=0," ",VLOOKUP(C139,Tabela!$A$3:$D$653,2,FALSE))</f>
        <v xml:space="preserve"> </v>
      </c>
      <c r="E139" s="73"/>
      <c r="F139" s="74">
        <f>IF(B139=0,0,VLOOKUP(C139,Tabela!$A$3:$D$653,4,FALSE))</f>
        <v>0</v>
      </c>
      <c r="G139" s="75">
        <f>IF(B139=0,0,VLOOKUP(C139,Tabela!$A$3:$D$653,3,FALSE))*IF($G$7="A VISTA",(100-$G$8)/100,1)</f>
        <v>0</v>
      </c>
      <c r="H139" s="76">
        <f t="shared" si="1"/>
        <v>0</v>
      </c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spans="2:26" x14ac:dyDescent="0.2">
      <c r="B140" s="95"/>
      <c r="C140" s="96"/>
      <c r="D140" s="72" t="str">
        <f>IF(B140=0," ",VLOOKUP(C140,Tabela!$A$3:$D$653,2,FALSE))</f>
        <v xml:space="preserve"> </v>
      </c>
      <c r="E140" s="73"/>
      <c r="F140" s="74">
        <f>IF(B140=0,0,VLOOKUP(C140,Tabela!$A$3:$D$653,4,FALSE))</f>
        <v>0</v>
      </c>
      <c r="G140" s="75">
        <f>IF(B140=0,0,VLOOKUP(C140,Tabela!$A$3:$D$653,3,FALSE))*IF($G$7="A VISTA",(100-$G$8)/100,1)</f>
        <v>0</v>
      </c>
      <c r="H140" s="76">
        <f t="shared" ref="H140:H184" si="2">B140*G140</f>
        <v>0</v>
      </c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spans="2:26" x14ac:dyDescent="0.2">
      <c r="B141" s="95"/>
      <c r="C141" s="96"/>
      <c r="D141" s="72" t="str">
        <f>IF(B141=0," ",VLOOKUP(C141,Tabela!$A$3:$D$653,2,FALSE))</f>
        <v xml:space="preserve"> </v>
      </c>
      <c r="E141" s="73"/>
      <c r="F141" s="74">
        <f>IF(B141=0,0,VLOOKUP(C141,Tabela!$A$3:$D$653,4,FALSE))</f>
        <v>0</v>
      </c>
      <c r="G141" s="75">
        <f>IF(B141=0,0,VLOOKUP(C141,Tabela!$A$3:$D$653,3,FALSE))*IF($G$7="A VISTA",(100-$G$8)/100,1)</f>
        <v>0</v>
      </c>
      <c r="H141" s="76">
        <f t="shared" si="2"/>
        <v>0</v>
      </c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spans="2:26" x14ac:dyDescent="0.2">
      <c r="B142" s="95"/>
      <c r="C142" s="96"/>
      <c r="D142" s="72" t="str">
        <f>IF(B142=0," ",VLOOKUP(C142,Tabela!$A$3:$D$653,2,FALSE))</f>
        <v xml:space="preserve"> </v>
      </c>
      <c r="E142" s="73"/>
      <c r="F142" s="74">
        <f>IF(B142=0,0,VLOOKUP(C142,Tabela!$A$3:$D$653,4,FALSE))</f>
        <v>0</v>
      </c>
      <c r="G142" s="75">
        <f>IF(B142=0,0,VLOOKUP(C142,Tabela!$A$3:$D$653,3,FALSE))*IF($G$7="A VISTA",(100-$G$8)/100,1)</f>
        <v>0</v>
      </c>
      <c r="H142" s="76">
        <f t="shared" si="2"/>
        <v>0</v>
      </c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spans="2:26" x14ac:dyDescent="0.2">
      <c r="B143" s="95"/>
      <c r="C143" s="96"/>
      <c r="D143" s="72" t="str">
        <f>IF(B143=0," ",VLOOKUP(C143,Tabela!$A$3:$D$653,2,FALSE))</f>
        <v xml:space="preserve"> </v>
      </c>
      <c r="E143" s="73"/>
      <c r="F143" s="74">
        <f>IF(B143=0,0,VLOOKUP(C143,Tabela!$A$3:$D$653,4,FALSE))</f>
        <v>0</v>
      </c>
      <c r="G143" s="75">
        <f>IF(B143=0,0,VLOOKUP(C143,Tabela!$A$3:$D$653,3,FALSE))*IF($G$7="A VISTA",(100-$G$8)/100,1)</f>
        <v>0</v>
      </c>
      <c r="H143" s="76">
        <f t="shared" si="2"/>
        <v>0</v>
      </c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spans="2:26" x14ac:dyDescent="0.2">
      <c r="B144" s="95"/>
      <c r="C144" s="96"/>
      <c r="D144" s="72" t="str">
        <f>IF(B144=0," ",VLOOKUP(C144,Tabela!$A$3:$D$653,2,FALSE))</f>
        <v xml:space="preserve"> </v>
      </c>
      <c r="E144" s="73"/>
      <c r="F144" s="74">
        <f>IF(B144=0,0,VLOOKUP(C144,Tabela!$A$3:$D$653,4,FALSE))</f>
        <v>0</v>
      </c>
      <c r="G144" s="75">
        <f>IF(B144=0,0,VLOOKUP(C144,Tabela!$A$3:$D$653,3,FALSE))*IF($G$7="A VISTA",(100-$G$8)/100,1)</f>
        <v>0</v>
      </c>
      <c r="H144" s="76">
        <f t="shared" si="2"/>
        <v>0</v>
      </c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spans="2:26" x14ac:dyDescent="0.2">
      <c r="B145" s="95"/>
      <c r="C145" s="96"/>
      <c r="D145" s="72" t="str">
        <f>IF(B145=0," ",VLOOKUP(C145,Tabela!$A$3:$D$653,2,FALSE))</f>
        <v xml:space="preserve"> </v>
      </c>
      <c r="E145" s="73"/>
      <c r="F145" s="74">
        <f>IF(B145=0,0,VLOOKUP(C145,Tabela!$A$3:$D$653,4,FALSE))</f>
        <v>0</v>
      </c>
      <c r="G145" s="75">
        <f>IF(B145=0,0,VLOOKUP(C145,Tabela!$A$3:$D$653,3,FALSE))*IF($G$7="A VISTA",(100-$G$8)/100,1)</f>
        <v>0</v>
      </c>
      <c r="H145" s="76">
        <f t="shared" si="2"/>
        <v>0</v>
      </c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spans="2:26" x14ac:dyDescent="0.2">
      <c r="B146" s="95"/>
      <c r="C146" s="96"/>
      <c r="D146" s="72" t="str">
        <f>IF(B146=0," ",VLOOKUP(C146,Tabela!$A$3:$D$653,2,FALSE))</f>
        <v xml:space="preserve"> </v>
      </c>
      <c r="E146" s="73"/>
      <c r="F146" s="74">
        <f>IF(B146=0,0,VLOOKUP(C146,Tabela!$A$3:$D$653,4,FALSE))</f>
        <v>0</v>
      </c>
      <c r="G146" s="75">
        <f>IF(B146=0,0,VLOOKUP(C146,Tabela!$A$3:$D$653,3,FALSE))*IF($G$7="A VISTA",(100-$G$8)/100,1)</f>
        <v>0</v>
      </c>
      <c r="H146" s="76">
        <f t="shared" si="2"/>
        <v>0</v>
      </c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spans="2:26" x14ac:dyDescent="0.2">
      <c r="B147" s="95"/>
      <c r="C147" s="96"/>
      <c r="D147" s="72" t="str">
        <f>IF(B147=0," ",VLOOKUP(C147,Tabela!$A$3:$D$653,2,FALSE))</f>
        <v xml:space="preserve"> </v>
      </c>
      <c r="E147" s="73"/>
      <c r="F147" s="74">
        <f>IF(B147=0,0,VLOOKUP(C147,Tabela!$A$3:$D$653,4,FALSE))</f>
        <v>0</v>
      </c>
      <c r="G147" s="75">
        <f>IF(B147=0,0,VLOOKUP(C147,Tabela!$A$3:$D$653,3,FALSE))*IF($G$7="A VISTA",(100-$G$8)/100,1)</f>
        <v>0</v>
      </c>
      <c r="H147" s="76">
        <f t="shared" si="2"/>
        <v>0</v>
      </c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spans="2:26" x14ac:dyDescent="0.2">
      <c r="B148" s="95"/>
      <c r="C148" s="96"/>
      <c r="D148" s="72" t="str">
        <f>IF(B148=0," ",VLOOKUP(C148,Tabela!$A$3:$D$653,2,FALSE))</f>
        <v xml:space="preserve"> </v>
      </c>
      <c r="E148" s="73"/>
      <c r="F148" s="74">
        <f>IF(B148=0,0,VLOOKUP(C148,Tabela!$A$3:$D$653,4,FALSE))</f>
        <v>0</v>
      </c>
      <c r="G148" s="75">
        <f>IF(B148=0,0,VLOOKUP(C148,Tabela!$A$3:$D$653,3,FALSE))*IF($G$7="A VISTA",(100-$G$8)/100,1)</f>
        <v>0</v>
      </c>
      <c r="H148" s="76">
        <f t="shared" si="2"/>
        <v>0</v>
      </c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spans="2:26" x14ac:dyDescent="0.2">
      <c r="B149" s="95"/>
      <c r="C149" s="96"/>
      <c r="D149" s="72" t="str">
        <f>IF(B149=0," ",VLOOKUP(C149,Tabela!$A$3:$D$653,2,FALSE))</f>
        <v xml:space="preserve"> </v>
      </c>
      <c r="E149" s="73"/>
      <c r="F149" s="74">
        <f>IF(B149=0,0,VLOOKUP(C149,Tabela!$A$3:$D$653,4,FALSE))</f>
        <v>0</v>
      </c>
      <c r="G149" s="75">
        <f>IF(B149=0,0,VLOOKUP(C149,Tabela!$A$3:$D$653,3,FALSE))*IF($G$7="A VISTA",(100-$G$8)/100,1)</f>
        <v>0</v>
      </c>
      <c r="H149" s="76">
        <f t="shared" si="2"/>
        <v>0</v>
      </c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spans="2:26" x14ac:dyDescent="0.2">
      <c r="B150" s="95"/>
      <c r="C150" s="96"/>
      <c r="D150" s="72" t="str">
        <f>IF(B150=0," ",VLOOKUP(C150,Tabela!$A$3:$D$653,2,FALSE))</f>
        <v xml:space="preserve"> </v>
      </c>
      <c r="E150" s="73"/>
      <c r="F150" s="74">
        <f>IF(B150=0,0,VLOOKUP(C150,Tabela!$A$3:$D$653,4,FALSE))</f>
        <v>0</v>
      </c>
      <c r="G150" s="75">
        <f>IF(B150=0,0,VLOOKUP(C150,Tabela!$A$3:$D$653,3,FALSE))*IF($G$7="A VISTA",(100-$G$8)/100,1)</f>
        <v>0</v>
      </c>
      <c r="H150" s="76">
        <f t="shared" si="2"/>
        <v>0</v>
      </c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spans="2:26" x14ac:dyDescent="0.2">
      <c r="B151" s="95"/>
      <c r="C151" s="96"/>
      <c r="D151" s="72" t="str">
        <f>IF(B151=0," ",VLOOKUP(C151,Tabela!$A$3:$D$653,2,FALSE))</f>
        <v xml:space="preserve"> </v>
      </c>
      <c r="E151" s="73"/>
      <c r="F151" s="74">
        <f>IF(B151=0,0,VLOOKUP(C151,Tabela!$A$3:$D$653,4,FALSE))</f>
        <v>0</v>
      </c>
      <c r="G151" s="75">
        <f>IF(B151=0,0,VLOOKUP(C151,Tabela!$A$3:$D$653,3,FALSE))*IF($G$7="A VISTA",(100-$G$8)/100,1)</f>
        <v>0</v>
      </c>
      <c r="H151" s="76">
        <f t="shared" si="2"/>
        <v>0</v>
      </c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spans="2:26" x14ac:dyDescent="0.2">
      <c r="B152" s="95"/>
      <c r="C152" s="96"/>
      <c r="D152" s="72" t="str">
        <f>IF(B152=0," ",VLOOKUP(C152,Tabela!$A$3:$D$653,2,FALSE))</f>
        <v xml:space="preserve"> </v>
      </c>
      <c r="E152" s="73"/>
      <c r="F152" s="74">
        <f>IF(B152=0,0,VLOOKUP(C152,Tabela!$A$3:$D$653,4,FALSE))</f>
        <v>0</v>
      </c>
      <c r="G152" s="75">
        <f>IF(B152=0,0,VLOOKUP(C152,Tabela!$A$3:$D$653,3,FALSE))*IF($G$7="A VISTA",(100-$G$8)/100,1)</f>
        <v>0</v>
      </c>
      <c r="H152" s="76">
        <f t="shared" si="2"/>
        <v>0</v>
      </c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spans="2:26" x14ac:dyDescent="0.2">
      <c r="B153" s="95"/>
      <c r="C153" s="96"/>
      <c r="D153" s="72" t="str">
        <f>IF(B153=0," ",VLOOKUP(C153,Tabela!$A$3:$D$653,2,FALSE))</f>
        <v xml:space="preserve"> </v>
      </c>
      <c r="E153" s="73"/>
      <c r="F153" s="74">
        <f>IF(B153=0,0,VLOOKUP(C153,Tabela!$A$3:$D$653,4,FALSE))</f>
        <v>0</v>
      </c>
      <c r="G153" s="75">
        <f>IF(B153=0,0,VLOOKUP(C153,Tabela!$A$3:$D$653,3,FALSE))*IF($G$7="A VISTA",(100-$G$8)/100,1)</f>
        <v>0</v>
      </c>
      <c r="H153" s="76">
        <f t="shared" si="2"/>
        <v>0</v>
      </c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spans="2:26" x14ac:dyDescent="0.2">
      <c r="B154" s="95"/>
      <c r="C154" s="96"/>
      <c r="D154" s="72" t="str">
        <f>IF(B154=0," ",VLOOKUP(C154,Tabela!$A$3:$D$653,2,FALSE))</f>
        <v xml:space="preserve"> </v>
      </c>
      <c r="E154" s="73"/>
      <c r="F154" s="74">
        <f>IF(B154=0,0,VLOOKUP(C154,Tabela!$A$3:$D$653,4,FALSE))</f>
        <v>0</v>
      </c>
      <c r="G154" s="75">
        <f>IF(B154=0,0,VLOOKUP(C154,Tabela!$A$3:$D$653,3,FALSE))*IF($G$7="A VISTA",(100-$G$8)/100,1)</f>
        <v>0</v>
      </c>
      <c r="H154" s="76">
        <f t="shared" si="2"/>
        <v>0</v>
      </c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spans="2:26" x14ac:dyDescent="0.2">
      <c r="B155" s="95"/>
      <c r="C155" s="96"/>
      <c r="D155" s="72" t="str">
        <f>IF(B155=0," ",VLOOKUP(C155,Tabela!$A$3:$D$653,2,FALSE))</f>
        <v xml:space="preserve"> </v>
      </c>
      <c r="E155" s="73"/>
      <c r="F155" s="74">
        <f>IF(B155=0,0,VLOOKUP(C155,Tabela!$A$3:$D$653,4,FALSE))</f>
        <v>0</v>
      </c>
      <c r="G155" s="75">
        <f>IF(B155=0,0,VLOOKUP(C155,Tabela!$A$3:$D$653,3,FALSE))*IF($G$7="A VISTA",(100-$G$8)/100,1)</f>
        <v>0</v>
      </c>
      <c r="H155" s="76">
        <f t="shared" si="2"/>
        <v>0</v>
      </c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26" x14ac:dyDescent="0.2">
      <c r="B156" s="95"/>
      <c r="C156" s="96"/>
      <c r="D156" s="72" t="str">
        <f>IF(B156=0," ",VLOOKUP(C156,Tabela!$A$3:$D$653,2,FALSE))</f>
        <v xml:space="preserve"> </v>
      </c>
      <c r="E156" s="73"/>
      <c r="F156" s="74">
        <f>IF(B156=0,0,VLOOKUP(C156,Tabela!$A$3:$D$653,4,FALSE))</f>
        <v>0</v>
      </c>
      <c r="G156" s="75">
        <f>IF(B156=0,0,VLOOKUP(C156,Tabela!$A$3:$D$653,3,FALSE))*IF($G$7="A VISTA",(100-$G$8)/100,1)</f>
        <v>0</v>
      </c>
      <c r="H156" s="76">
        <f t="shared" si="2"/>
        <v>0</v>
      </c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spans="2:26" x14ac:dyDescent="0.2">
      <c r="B157" s="95"/>
      <c r="C157" s="96"/>
      <c r="D157" s="72" t="str">
        <f>IF(B157=0," ",VLOOKUP(C157,Tabela!$A$3:$D$653,2,FALSE))</f>
        <v xml:space="preserve"> </v>
      </c>
      <c r="E157" s="73"/>
      <c r="F157" s="74">
        <f>IF(B157=0,0,VLOOKUP(C157,Tabela!$A$3:$D$653,4,FALSE))</f>
        <v>0</v>
      </c>
      <c r="G157" s="75">
        <f>IF(B157=0,0,VLOOKUP(C157,Tabela!$A$3:$D$653,3,FALSE))*IF($G$7="A VISTA",(100-$G$8)/100,1)</f>
        <v>0</v>
      </c>
      <c r="H157" s="76">
        <f t="shared" si="2"/>
        <v>0</v>
      </c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spans="2:26" x14ac:dyDescent="0.2">
      <c r="B158" s="95"/>
      <c r="C158" s="96"/>
      <c r="D158" s="72" t="str">
        <f>IF(B158=0," ",VLOOKUP(C158,Tabela!$A$3:$D$653,2,FALSE))</f>
        <v xml:space="preserve"> </v>
      </c>
      <c r="E158" s="73"/>
      <c r="F158" s="74">
        <f>IF(B158=0,0,VLOOKUP(C158,Tabela!$A$3:$D$653,4,FALSE))</f>
        <v>0</v>
      </c>
      <c r="G158" s="75">
        <f>IF(B158=0,0,VLOOKUP(C158,Tabela!$A$3:$D$653,3,FALSE))*IF($G$7="A VISTA",(100-$G$8)/100,1)</f>
        <v>0</v>
      </c>
      <c r="H158" s="76">
        <f t="shared" si="2"/>
        <v>0</v>
      </c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spans="2:26" x14ac:dyDescent="0.2">
      <c r="B159" s="95"/>
      <c r="C159" s="96"/>
      <c r="D159" s="72" t="str">
        <f>IF(B159=0," ",VLOOKUP(C159,Tabela!$A$3:$D$653,2,FALSE))</f>
        <v xml:space="preserve"> </v>
      </c>
      <c r="E159" s="73"/>
      <c r="F159" s="74">
        <f>IF(B159=0,0,VLOOKUP(C159,Tabela!$A$3:$D$653,4,FALSE))</f>
        <v>0</v>
      </c>
      <c r="G159" s="75">
        <f>IF(B159=0,0,VLOOKUP(C159,Tabela!$A$3:$D$653,3,FALSE))*IF($G$7="A VISTA",(100-$G$8)/100,1)</f>
        <v>0</v>
      </c>
      <c r="H159" s="76">
        <f t="shared" si="2"/>
        <v>0</v>
      </c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spans="2:26" x14ac:dyDescent="0.2">
      <c r="B160" s="95"/>
      <c r="C160" s="96"/>
      <c r="D160" s="72" t="str">
        <f>IF(B160=0," ",VLOOKUP(C160,Tabela!$A$3:$D$653,2,FALSE))</f>
        <v xml:space="preserve"> </v>
      </c>
      <c r="E160" s="73"/>
      <c r="F160" s="74">
        <f>IF(B160=0,0,VLOOKUP(C160,Tabela!$A$3:$D$653,4,FALSE))</f>
        <v>0</v>
      </c>
      <c r="G160" s="75">
        <f>IF(B160=0,0,VLOOKUP(C160,Tabela!$A$3:$D$653,3,FALSE))*IF($G$7="A VISTA",(100-$G$8)/100,1)</f>
        <v>0</v>
      </c>
      <c r="H160" s="76">
        <f t="shared" si="2"/>
        <v>0</v>
      </c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spans="2:26" x14ac:dyDescent="0.2">
      <c r="B161" s="95"/>
      <c r="C161" s="96"/>
      <c r="D161" s="72" t="str">
        <f>IF(B161=0," ",VLOOKUP(C161,Tabela!$A$3:$D$653,2,FALSE))</f>
        <v xml:space="preserve"> </v>
      </c>
      <c r="E161" s="73"/>
      <c r="F161" s="74">
        <f>IF(B161=0,0,VLOOKUP(C161,Tabela!$A$3:$D$653,4,FALSE))</f>
        <v>0</v>
      </c>
      <c r="G161" s="75">
        <f>IF(B161=0,0,VLOOKUP(C161,Tabela!$A$3:$D$653,3,FALSE))*IF($G$7="A VISTA",(100-$G$8)/100,1)</f>
        <v>0</v>
      </c>
      <c r="H161" s="76">
        <f t="shared" si="2"/>
        <v>0</v>
      </c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spans="2:26" x14ac:dyDescent="0.2">
      <c r="B162" s="95"/>
      <c r="C162" s="96"/>
      <c r="D162" s="72" t="str">
        <f>IF(B162=0," ",VLOOKUP(C162,Tabela!$A$3:$D$653,2,FALSE))</f>
        <v xml:space="preserve"> </v>
      </c>
      <c r="E162" s="73"/>
      <c r="F162" s="74">
        <f>IF(B162=0,0,VLOOKUP(C162,Tabela!$A$3:$D$653,4,FALSE))</f>
        <v>0</v>
      </c>
      <c r="G162" s="75">
        <f>IF(B162=0,0,VLOOKUP(C162,Tabela!$A$3:$D$653,3,FALSE))*IF($G$7="A VISTA",(100-$G$8)/100,1)</f>
        <v>0</v>
      </c>
      <c r="H162" s="76">
        <f t="shared" si="2"/>
        <v>0</v>
      </c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spans="2:26" x14ac:dyDescent="0.2">
      <c r="B163" s="95"/>
      <c r="C163" s="96"/>
      <c r="D163" s="72" t="str">
        <f>IF(B163=0," ",VLOOKUP(C163,Tabela!$A$3:$D$653,2,FALSE))</f>
        <v xml:space="preserve"> </v>
      </c>
      <c r="E163" s="73"/>
      <c r="F163" s="74">
        <f>IF(B163=0,0,VLOOKUP(C163,Tabela!$A$3:$D$653,4,FALSE))</f>
        <v>0</v>
      </c>
      <c r="G163" s="75">
        <f>IF(B163=0,0,VLOOKUP(C163,Tabela!$A$3:$D$653,3,FALSE))*IF($G$7="A VISTA",(100-$G$8)/100,1)</f>
        <v>0</v>
      </c>
      <c r="H163" s="76">
        <f t="shared" si="2"/>
        <v>0</v>
      </c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spans="2:26" x14ac:dyDescent="0.2">
      <c r="B164" s="95"/>
      <c r="C164" s="96"/>
      <c r="D164" s="72" t="str">
        <f>IF(B164=0," ",VLOOKUP(C164,Tabela!$A$3:$D$653,2,FALSE))</f>
        <v xml:space="preserve"> </v>
      </c>
      <c r="E164" s="73"/>
      <c r="F164" s="74">
        <f>IF(B164=0,0,VLOOKUP(C164,Tabela!$A$3:$D$653,4,FALSE))</f>
        <v>0</v>
      </c>
      <c r="G164" s="75">
        <f>IF(B164=0,0,VLOOKUP(C164,Tabela!$A$3:$D$653,3,FALSE))*IF($G$7="A VISTA",(100-$G$8)/100,1)</f>
        <v>0</v>
      </c>
      <c r="H164" s="76">
        <f t="shared" si="2"/>
        <v>0</v>
      </c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spans="2:26" x14ac:dyDescent="0.2">
      <c r="B165" s="95"/>
      <c r="C165" s="96"/>
      <c r="D165" s="72" t="str">
        <f>IF(B165=0," ",VLOOKUP(C165,Tabela!$A$3:$D$653,2,FALSE))</f>
        <v xml:space="preserve"> </v>
      </c>
      <c r="E165" s="73"/>
      <c r="F165" s="74">
        <f>IF(B165=0,0,VLOOKUP(C165,Tabela!$A$3:$D$653,4,FALSE))</f>
        <v>0</v>
      </c>
      <c r="G165" s="75">
        <f>IF(B165=0,0,VLOOKUP(C165,Tabela!$A$3:$D$653,3,FALSE))*IF($G$7="A VISTA",(100-$G$8)/100,1)</f>
        <v>0</v>
      </c>
      <c r="H165" s="76">
        <f t="shared" si="2"/>
        <v>0</v>
      </c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spans="2:26" x14ac:dyDescent="0.2">
      <c r="B166" s="95"/>
      <c r="C166" s="96"/>
      <c r="D166" s="72" t="str">
        <f>IF(B166=0," ",VLOOKUP(C166,Tabela!$A$3:$D$653,2,FALSE))</f>
        <v xml:space="preserve"> </v>
      </c>
      <c r="E166" s="73"/>
      <c r="F166" s="74">
        <f>IF(B166=0,0,VLOOKUP(C166,Tabela!$A$3:$D$653,4,FALSE))</f>
        <v>0</v>
      </c>
      <c r="G166" s="75">
        <f>IF(B166=0,0,VLOOKUP(C166,Tabela!$A$3:$D$653,3,FALSE))*IF($G$7="A VISTA",(100-$G$8)/100,1)</f>
        <v>0</v>
      </c>
      <c r="H166" s="76">
        <f t="shared" si="2"/>
        <v>0</v>
      </c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spans="2:26" x14ac:dyDescent="0.2">
      <c r="B167" s="95"/>
      <c r="C167" s="96"/>
      <c r="D167" s="72" t="str">
        <f>IF(B167=0," ",VLOOKUP(C167,Tabela!$A$3:$D$653,2,FALSE))</f>
        <v xml:space="preserve"> </v>
      </c>
      <c r="E167" s="73"/>
      <c r="F167" s="74">
        <f>IF(B167=0,0,VLOOKUP(C167,Tabela!$A$3:$D$653,4,FALSE))</f>
        <v>0</v>
      </c>
      <c r="G167" s="75">
        <f>IF(B167=0,0,VLOOKUP(C167,Tabela!$A$3:$D$653,3,FALSE))*IF($G$7="A VISTA",(100-$G$8)/100,1)</f>
        <v>0</v>
      </c>
      <c r="H167" s="76">
        <f t="shared" si="2"/>
        <v>0</v>
      </c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spans="2:26" x14ac:dyDescent="0.2">
      <c r="B168" s="95"/>
      <c r="C168" s="96"/>
      <c r="D168" s="72" t="str">
        <f>IF(B168=0," ",VLOOKUP(C168,Tabela!$A$3:$D$653,2,FALSE))</f>
        <v xml:space="preserve"> </v>
      </c>
      <c r="E168" s="73"/>
      <c r="F168" s="74">
        <f>IF(B168=0,0,VLOOKUP(C168,Tabela!$A$3:$D$653,4,FALSE))</f>
        <v>0</v>
      </c>
      <c r="G168" s="75">
        <f>IF(B168=0,0,VLOOKUP(C168,Tabela!$A$3:$D$653,3,FALSE))*IF($G$7="A VISTA",(100-$G$8)/100,1)</f>
        <v>0</v>
      </c>
      <c r="H168" s="76">
        <f t="shared" si="2"/>
        <v>0</v>
      </c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spans="2:26" x14ac:dyDescent="0.2">
      <c r="B169" s="95"/>
      <c r="C169" s="96"/>
      <c r="D169" s="72" t="str">
        <f>IF(B169=0," ",VLOOKUP(C169,Tabela!$A$3:$D$653,2,FALSE))</f>
        <v xml:space="preserve"> </v>
      </c>
      <c r="E169" s="73"/>
      <c r="F169" s="74">
        <f>IF(B169=0,0,VLOOKUP(C169,Tabela!$A$3:$D$653,4,FALSE))</f>
        <v>0</v>
      </c>
      <c r="G169" s="75">
        <f>IF(B169=0,0,VLOOKUP(C169,Tabela!$A$3:$D$653,3,FALSE))*IF($G$7="A VISTA",(100-$G$8)/100,1)</f>
        <v>0</v>
      </c>
      <c r="H169" s="76">
        <f t="shared" si="2"/>
        <v>0</v>
      </c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spans="2:26" x14ac:dyDescent="0.2">
      <c r="B170" s="95"/>
      <c r="C170" s="96"/>
      <c r="D170" s="72" t="str">
        <f>IF(B170=0," ",VLOOKUP(C170,Tabela!$A$3:$D$653,2,FALSE))</f>
        <v xml:space="preserve"> </v>
      </c>
      <c r="E170" s="73"/>
      <c r="F170" s="74">
        <f>IF(B170=0,0,VLOOKUP(C170,Tabela!$A$3:$D$653,4,FALSE))</f>
        <v>0</v>
      </c>
      <c r="G170" s="75">
        <f>IF(B170=0,0,VLOOKUP(C170,Tabela!$A$3:$D$653,3,FALSE))*IF($G$7="A VISTA",(100-$G$8)/100,1)</f>
        <v>0</v>
      </c>
      <c r="H170" s="76">
        <f t="shared" si="2"/>
        <v>0</v>
      </c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spans="2:26" x14ac:dyDescent="0.2">
      <c r="B171" s="95"/>
      <c r="C171" s="96"/>
      <c r="D171" s="72" t="str">
        <f>IF(B171=0," ",VLOOKUP(C171,Tabela!$A$3:$D$653,2,FALSE))</f>
        <v xml:space="preserve"> </v>
      </c>
      <c r="E171" s="73"/>
      <c r="F171" s="74">
        <f>IF(B171=0,0,VLOOKUP(C171,Tabela!$A$3:$D$653,4,FALSE))</f>
        <v>0</v>
      </c>
      <c r="G171" s="75">
        <f>IF(B171=0,0,VLOOKUP(C171,Tabela!$A$3:$D$653,3,FALSE))*IF($G$7="A VISTA",(100-$G$8)/100,1)</f>
        <v>0</v>
      </c>
      <c r="H171" s="76">
        <f t="shared" si="2"/>
        <v>0</v>
      </c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spans="2:26" x14ac:dyDescent="0.2">
      <c r="B172" s="95"/>
      <c r="C172" s="96"/>
      <c r="D172" s="72" t="str">
        <f>IF(B172=0," ",VLOOKUP(C172,Tabela!$A$3:$D$653,2,FALSE))</f>
        <v xml:space="preserve"> </v>
      </c>
      <c r="E172" s="73"/>
      <c r="F172" s="74">
        <f>IF(B172=0,0,VLOOKUP(C172,Tabela!$A$3:$D$653,4,FALSE))</f>
        <v>0</v>
      </c>
      <c r="G172" s="75">
        <f>IF(B172=0,0,VLOOKUP(C172,Tabela!$A$3:$D$653,3,FALSE))*IF($G$7="A VISTA",(100-$G$8)/100,1)</f>
        <v>0</v>
      </c>
      <c r="H172" s="76">
        <f t="shared" si="2"/>
        <v>0</v>
      </c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spans="2:26" x14ac:dyDescent="0.2">
      <c r="B173" s="95"/>
      <c r="C173" s="96"/>
      <c r="D173" s="72" t="str">
        <f>IF(B173=0," ",VLOOKUP(C173,Tabela!$A$3:$D$653,2,FALSE))</f>
        <v xml:space="preserve"> </v>
      </c>
      <c r="E173" s="73"/>
      <c r="F173" s="74">
        <f>IF(B173=0,0,VLOOKUP(C173,Tabela!$A$3:$D$653,4,FALSE))</f>
        <v>0</v>
      </c>
      <c r="G173" s="75">
        <f>IF(B173=0,0,VLOOKUP(C173,Tabela!$A$3:$D$653,3,FALSE))*IF($G$7="A VISTA",(100-$G$8)/100,1)</f>
        <v>0</v>
      </c>
      <c r="H173" s="76">
        <f t="shared" si="2"/>
        <v>0</v>
      </c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spans="2:26" x14ac:dyDescent="0.2">
      <c r="B174" s="95"/>
      <c r="C174" s="96"/>
      <c r="D174" s="72" t="str">
        <f>IF(B174=0," ",VLOOKUP(C174,Tabela!$A$3:$D$653,2,FALSE))</f>
        <v xml:space="preserve"> </v>
      </c>
      <c r="E174" s="73"/>
      <c r="F174" s="74">
        <f>IF(B174=0,0,VLOOKUP(C174,Tabela!$A$3:$D$653,4,FALSE))</f>
        <v>0</v>
      </c>
      <c r="G174" s="75">
        <f>IF(B174=0,0,VLOOKUP(C174,Tabela!$A$3:$D$653,3,FALSE))*IF($G$7="A VISTA",(100-$G$8)/100,1)</f>
        <v>0</v>
      </c>
      <c r="H174" s="76">
        <f t="shared" si="2"/>
        <v>0</v>
      </c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spans="2:26" x14ac:dyDescent="0.2">
      <c r="B175" s="95"/>
      <c r="C175" s="96"/>
      <c r="D175" s="72" t="str">
        <f>IF(B175=0," ",VLOOKUP(C175,Tabela!$A$3:$D$653,2,FALSE))</f>
        <v xml:space="preserve"> </v>
      </c>
      <c r="E175" s="73"/>
      <c r="F175" s="74">
        <f>IF(B175=0,0,VLOOKUP(C175,Tabela!$A$3:$D$653,4,FALSE))</f>
        <v>0</v>
      </c>
      <c r="G175" s="75">
        <f>IF(B175=0,0,VLOOKUP(C175,Tabela!$A$3:$D$653,3,FALSE))*IF($G$7="A VISTA",(100-$G$8)/100,1)</f>
        <v>0</v>
      </c>
      <c r="H175" s="76">
        <f t="shared" si="2"/>
        <v>0</v>
      </c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spans="2:26" x14ac:dyDescent="0.2">
      <c r="B176" s="95"/>
      <c r="C176" s="96"/>
      <c r="D176" s="72" t="str">
        <f>IF(B176=0," ",VLOOKUP(C176,Tabela!$A$3:$D$653,2,FALSE))</f>
        <v xml:space="preserve"> </v>
      </c>
      <c r="E176" s="73"/>
      <c r="F176" s="74">
        <f>IF(B176=0,0,VLOOKUP(C176,Tabela!$A$3:$D$653,4,FALSE))</f>
        <v>0</v>
      </c>
      <c r="G176" s="75">
        <f>IF(B176=0,0,VLOOKUP(C176,Tabela!$A$3:$D$653,3,FALSE))*IF($G$7="A VISTA",(100-$G$8)/100,1)</f>
        <v>0</v>
      </c>
      <c r="H176" s="76">
        <f t="shared" si="2"/>
        <v>0</v>
      </c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spans="2:26" x14ac:dyDescent="0.2">
      <c r="B177" s="95"/>
      <c r="C177" s="96"/>
      <c r="D177" s="72" t="str">
        <f>IF(B177=0," ",VLOOKUP(C177,Tabela!$A$3:$D$653,2,FALSE))</f>
        <v xml:space="preserve"> </v>
      </c>
      <c r="E177" s="73"/>
      <c r="F177" s="74">
        <f>IF(B177=0,0,VLOOKUP(C177,Tabela!$A$3:$D$653,4,FALSE))</f>
        <v>0</v>
      </c>
      <c r="G177" s="75">
        <f>IF(B177=0,0,VLOOKUP(C177,Tabela!$A$3:$D$653,3,FALSE))*IF($G$7="A VISTA",(100-$G$8)/100,1)</f>
        <v>0</v>
      </c>
      <c r="H177" s="76">
        <f t="shared" si="2"/>
        <v>0</v>
      </c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spans="2:26" x14ac:dyDescent="0.2">
      <c r="B178" s="95"/>
      <c r="C178" s="96"/>
      <c r="D178" s="72" t="str">
        <f>IF(B178=0," ",VLOOKUP(C178,Tabela!$A$3:$D$653,2,FALSE))</f>
        <v xml:space="preserve"> </v>
      </c>
      <c r="E178" s="73"/>
      <c r="F178" s="74">
        <f>IF(B178=0,0,VLOOKUP(C178,Tabela!$A$3:$D$653,4,FALSE))</f>
        <v>0</v>
      </c>
      <c r="G178" s="75">
        <f>IF(B178=0,0,VLOOKUP(C178,Tabela!$A$3:$D$653,3,FALSE))*IF($G$7="A VISTA",(100-$G$8)/100,1)</f>
        <v>0</v>
      </c>
      <c r="H178" s="76">
        <f t="shared" si="2"/>
        <v>0</v>
      </c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spans="2:26" x14ac:dyDescent="0.2">
      <c r="B179" s="95"/>
      <c r="C179" s="96"/>
      <c r="D179" s="72" t="str">
        <f>IF(B179=0," ",VLOOKUP(C179,Tabela!$A$3:$D$653,2,FALSE))</f>
        <v xml:space="preserve"> </v>
      </c>
      <c r="E179" s="73"/>
      <c r="F179" s="74">
        <f>IF(B179=0,0,VLOOKUP(C179,Tabela!$A$3:$D$653,4,FALSE))</f>
        <v>0</v>
      </c>
      <c r="G179" s="75">
        <f>IF(B179=0,0,VLOOKUP(C179,Tabela!$A$3:$D$653,3,FALSE))*IF($G$7="A VISTA",(100-$G$8)/100,1)</f>
        <v>0</v>
      </c>
      <c r="H179" s="76">
        <f t="shared" si="2"/>
        <v>0</v>
      </c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spans="2:26" x14ac:dyDescent="0.2">
      <c r="B180" s="95"/>
      <c r="C180" s="96"/>
      <c r="D180" s="72" t="str">
        <f>IF(B180=0," ",VLOOKUP(C180,Tabela!$A$3:$D$653,2,FALSE))</f>
        <v xml:space="preserve"> </v>
      </c>
      <c r="E180" s="73"/>
      <c r="F180" s="74">
        <f>IF(B180=0,0,VLOOKUP(C180,Tabela!$A$3:$D$653,4,FALSE))</f>
        <v>0</v>
      </c>
      <c r="G180" s="75">
        <f>IF(B180=0,0,VLOOKUP(C180,Tabela!$A$3:$D$653,3,FALSE))*IF($G$7="A VISTA",(100-$G$8)/100,1)</f>
        <v>0</v>
      </c>
      <c r="H180" s="76">
        <f t="shared" si="2"/>
        <v>0</v>
      </c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spans="2:26" x14ac:dyDescent="0.2">
      <c r="B181" s="95"/>
      <c r="C181" s="96"/>
      <c r="D181" s="72" t="str">
        <f>IF(B181=0," ",VLOOKUP(C181,Tabela!$A$3:$D$653,2,FALSE))</f>
        <v xml:space="preserve"> </v>
      </c>
      <c r="E181" s="73"/>
      <c r="F181" s="74">
        <f>IF(B181=0,0,VLOOKUP(C181,Tabela!$A$3:$D$653,4,FALSE))</f>
        <v>0</v>
      </c>
      <c r="G181" s="75">
        <f>IF(B181=0,0,VLOOKUP(C181,Tabela!$A$3:$D$653,3,FALSE))*IF($G$7="A VISTA",(100-$G$8)/100,1)</f>
        <v>0</v>
      </c>
      <c r="H181" s="76">
        <f t="shared" si="2"/>
        <v>0</v>
      </c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spans="2:26" x14ac:dyDescent="0.2">
      <c r="B182" s="95"/>
      <c r="C182" s="96"/>
      <c r="D182" s="72" t="str">
        <f>IF(B182=0," ",VLOOKUP(C182,Tabela!$A$3:$D$653,2,FALSE))</f>
        <v xml:space="preserve"> </v>
      </c>
      <c r="E182" s="73"/>
      <c r="F182" s="74">
        <f>IF(B182=0,0,VLOOKUP(C182,Tabela!$A$3:$D$653,4,FALSE))</f>
        <v>0</v>
      </c>
      <c r="G182" s="75">
        <f>IF(B182=0,0,VLOOKUP(C182,Tabela!$A$3:$D$653,3,FALSE))*IF($G$7="A VISTA",(100-$G$8)/100,1)</f>
        <v>0</v>
      </c>
      <c r="H182" s="76">
        <f t="shared" si="2"/>
        <v>0</v>
      </c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spans="2:26" x14ac:dyDescent="0.2">
      <c r="B183" s="95"/>
      <c r="C183" s="96"/>
      <c r="D183" s="72" t="str">
        <f>IF(B183=0," ",VLOOKUP(C183,Tabela!$A$3:$D$653,2,FALSE))</f>
        <v xml:space="preserve"> </v>
      </c>
      <c r="E183" s="73"/>
      <c r="F183" s="74">
        <f>IF(B183=0,0,VLOOKUP(C183,Tabela!$A$3:$D$653,4,FALSE))</f>
        <v>0</v>
      </c>
      <c r="G183" s="75">
        <f>IF(B183=0,0,VLOOKUP(C183,Tabela!$A$3:$D$653,3,FALSE))*IF($G$7="A VISTA",(100-$G$8)/100,1)</f>
        <v>0</v>
      </c>
      <c r="H183" s="76">
        <f t="shared" si="2"/>
        <v>0</v>
      </c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spans="2:26" x14ac:dyDescent="0.2">
      <c r="B184" s="95"/>
      <c r="C184" s="96"/>
      <c r="D184" s="72" t="str">
        <f>IF(B184=0," ",VLOOKUP(C184,Tabela!$A$3:$D$653,2,FALSE))</f>
        <v xml:space="preserve"> </v>
      </c>
      <c r="E184" s="73"/>
      <c r="F184" s="74">
        <f>IF(B184=0,0,VLOOKUP(C184,Tabela!$A$3:$D$653,4,FALSE))</f>
        <v>0</v>
      </c>
      <c r="G184" s="75">
        <f>IF(B184=0,0,VLOOKUP(C184,Tabela!$A$3:$D$653,3,FALSE))*IF($G$7="A VISTA",(100-$G$8)/100,1)</f>
        <v>0</v>
      </c>
      <c r="H184" s="76">
        <f t="shared" si="2"/>
        <v>0</v>
      </c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spans="2:26" x14ac:dyDescent="0.2">
      <c r="B185" s="95"/>
      <c r="C185" s="96"/>
      <c r="D185" s="72" t="str">
        <f>IF(B185=0," ",VLOOKUP(C185,Tabela!$A$3:$D$653,2,FALSE))</f>
        <v xml:space="preserve"> </v>
      </c>
      <c r="E185" s="73"/>
      <c r="F185" s="74">
        <f>IF(B185=0,0,VLOOKUP(C185,Tabela!$A$3:$D$653,4,FALSE))</f>
        <v>0</v>
      </c>
      <c r="G185" s="75">
        <f>IF(B185=0,0,VLOOKUP(C185,Tabela!$A$3:$D$653,3,FALSE))*IF($G$7="A VISTA",(100-$G$8)/100,1)</f>
        <v>0</v>
      </c>
      <c r="H185" s="76">
        <f t="shared" ref="H185:H188" si="3">B185*G185</f>
        <v>0</v>
      </c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spans="2:26" x14ac:dyDescent="0.2">
      <c r="B186" s="95"/>
      <c r="C186" s="96"/>
      <c r="D186" s="72" t="str">
        <f>IF(B186=0," ",VLOOKUP(C186,Tabela!$A$3:$D$653,2,FALSE))</f>
        <v xml:space="preserve"> </v>
      </c>
      <c r="E186" s="73"/>
      <c r="F186" s="74">
        <f>IF(B186=0,0,VLOOKUP(C186,Tabela!$A$3:$D$653,4,FALSE))</f>
        <v>0</v>
      </c>
      <c r="G186" s="75">
        <f>IF(B186=0,0,VLOOKUP(C186,Tabela!$A$3:$D$653,3,FALSE))*IF($G$7="A VISTA",(100-$G$8)/100,1)</f>
        <v>0</v>
      </c>
      <c r="H186" s="76">
        <f t="shared" si="3"/>
        <v>0</v>
      </c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spans="2:26" x14ac:dyDescent="0.2">
      <c r="B187" s="95"/>
      <c r="C187" s="96"/>
      <c r="D187" s="72" t="str">
        <f>IF(B187=0," ",VLOOKUP(C187,Tabela!$A$3:$D$653,2,FALSE))</f>
        <v xml:space="preserve"> </v>
      </c>
      <c r="E187" s="73"/>
      <c r="F187" s="74">
        <f>IF(B187=0,0,VLOOKUP(C187,Tabela!$A$3:$D$653,4,FALSE))</f>
        <v>0</v>
      </c>
      <c r="G187" s="75">
        <f>IF(B187=0,0,VLOOKUP(C187,Tabela!$A$3:$D$653,3,FALSE))*IF($G$7="A VISTA",(100-$G$8)/100,1)</f>
        <v>0</v>
      </c>
      <c r="H187" s="76">
        <f t="shared" si="3"/>
        <v>0</v>
      </c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spans="2:26" x14ac:dyDescent="0.2">
      <c r="B188" s="95"/>
      <c r="C188" s="96"/>
      <c r="D188" s="72" t="str">
        <f>IF(B188=0," ",VLOOKUP(C188,Tabela!$A$3:$D$653,2,FALSE))</f>
        <v xml:space="preserve"> </v>
      </c>
      <c r="E188" s="73"/>
      <c r="F188" s="74">
        <f>IF(B188=0,0,VLOOKUP(C188,Tabela!$A$3:$D$653,4,FALSE))</f>
        <v>0</v>
      </c>
      <c r="G188" s="75">
        <f>IF(B188=0,0,VLOOKUP(C188,Tabela!$A$3:$D$653,3,FALSE))*IF($G$7="A VISTA",(100-$G$8)/100,1)</f>
        <v>0</v>
      </c>
      <c r="H188" s="76">
        <f t="shared" si="3"/>
        <v>0</v>
      </c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spans="2:26" x14ac:dyDescent="0.2">
      <c r="B189" s="95"/>
      <c r="C189" s="96"/>
      <c r="D189" s="72" t="str">
        <f>IF(B189=0," ",VLOOKUP(C189,Tabela!$A$3:$D$653,2,FALSE))</f>
        <v xml:space="preserve"> </v>
      </c>
      <c r="E189" s="73"/>
      <c r="F189" s="74">
        <f>IF(B189=0,0,VLOOKUP(C189,Tabela!$A$3:$D$653,4,FALSE))</f>
        <v>0</v>
      </c>
      <c r="G189" s="75">
        <f>IF(B189=0,0,VLOOKUP(C189,Tabela!$A$3:$D$653,3,FALSE))*IF($G$7="A VISTA",(100-$G$8)/100,1)</f>
        <v>0</v>
      </c>
      <c r="H189" s="76">
        <f t="shared" ref="H189:H193" si="4">B189*G189</f>
        <v>0</v>
      </c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spans="2:26" x14ac:dyDescent="0.2">
      <c r="B190" s="95"/>
      <c r="C190" s="96"/>
      <c r="D190" s="72" t="str">
        <f>IF(B190=0," ",VLOOKUP(C190,Tabela!$A$3:$D$653,2,FALSE))</f>
        <v xml:space="preserve"> </v>
      </c>
      <c r="E190" s="73"/>
      <c r="F190" s="74">
        <f>IF(B190=0,0,VLOOKUP(C190,Tabela!$A$3:$D$653,4,FALSE))</f>
        <v>0</v>
      </c>
      <c r="G190" s="75">
        <f>IF(B190=0,0,VLOOKUP(C190,Tabela!$A$3:$D$653,3,FALSE))*IF($G$7="A VISTA",(100-$G$8)/100,1)</f>
        <v>0</v>
      </c>
      <c r="H190" s="76">
        <f t="shared" si="4"/>
        <v>0</v>
      </c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spans="2:26" x14ac:dyDescent="0.2">
      <c r="B191" s="95"/>
      <c r="C191" s="96"/>
      <c r="D191" s="72" t="str">
        <f>IF(B191=0," ",VLOOKUP(C191,Tabela!$A$3:$D$653,2,FALSE))</f>
        <v xml:space="preserve"> </v>
      </c>
      <c r="E191" s="73"/>
      <c r="F191" s="74">
        <f>IF(B191=0,0,VLOOKUP(C191,Tabela!$A$3:$D$653,4,FALSE))</f>
        <v>0</v>
      </c>
      <c r="G191" s="75">
        <f>IF(B191=0,0,VLOOKUP(C191,Tabela!$A$3:$D$653,3,FALSE))*IF($G$7="A VISTA",(100-$G$8)/100,1)</f>
        <v>0</v>
      </c>
      <c r="H191" s="76">
        <f t="shared" si="4"/>
        <v>0</v>
      </c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spans="2:26" x14ac:dyDescent="0.2">
      <c r="B192" s="95"/>
      <c r="C192" s="96"/>
      <c r="D192" s="72" t="str">
        <f>IF(B192=0," ",VLOOKUP(C192,Tabela!$A$3:$D$653,2,FALSE))</f>
        <v xml:space="preserve"> </v>
      </c>
      <c r="E192" s="73"/>
      <c r="F192" s="74">
        <f>IF(B192=0,0,VLOOKUP(C192,Tabela!$A$3:$D$653,4,FALSE))</f>
        <v>0</v>
      </c>
      <c r="G192" s="75">
        <f>IF(B192=0,0,VLOOKUP(C192,Tabela!$A$3:$D$653,3,FALSE))*IF($G$7="A VISTA",(100-$G$8)/100,1)</f>
        <v>0</v>
      </c>
      <c r="H192" s="76">
        <f t="shared" si="4"/>
        <v>0</v>
      </c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spans="2:26" x14ac:dyDescent="0.2">
      <c r="B193" s="95"/>
      <c r="C193" s="96"/>
      <c r="D193" s="72" t="str">
        <f>IF(B193=0," ",VLOOKUP(C193,Tabela!$A$3:$D$653,2,FALSE))</f>
        <v xml:space="preserve"> </v>
      </c>
      <c r="E193" s="73"/>
      <c r="F193" s="74">
        <f>IF(B193=0,0,VLOOKUP(C193,Tabela!$A$3:$D$653,4,FALSE))</f>
        <v>0</v>
      </c>
      <c r="G193" s="75">
        <f>IF(B193=0,0,VLOOKUP(C193,Tabela!$A$3:$D$653,3,FALSE))*IF($G$7="A VISTA",(100-$G$8)/100,1)</f>
        <v>0</v>
      </c>
      <c r="H193" s="76">
        <f t="shared" si="4"/>
        <v>0</v>
      </c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spans="2:26" x14ac:dyDescent="0.2">
      <c r="B194" s="95"/>
      <c r="C194" s="96"/>
      <c r="D194" s="72" t="str">
        <f>IF(B194=0," ",VLOOKUP(C194,Tabela!$A$3:$D$653,2,FALSE))</f>
        <v xml:space="preserve"> </v>
      </c>
      <c r="E194" s="73"/>
      <c r="F194" s="74">
        <f>IF(B194=0,0,VLOOKUP(C194,Tabela!$A$3:$D$653,4,FALSE))</f>
        <v>0</v>
      </c>
      <c r="G194" s="75">
        <f>IF(B194=0,0,VLOOKUP(C194,Tabela!$A$3:$D$653,3,FALSE))*IF($G$7="A VISTA",(100-$G$8)/100,1)</f>
        <v>0</v>
      </c>
      <c r="H194" s="76">
        <f t="shared" ref="H194:H203" si="5">B194*G194</f>
        <v>0</v>
      </c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spans="2:26" x14ac:dyDescent="0.2">
      <c r="B195" s="95"/>
      <c r="C195" s="96"/>
      <c r="D195" s="72" t="str">
        <f>IF(B195=0," ",VLOOKUP(C195,Tabela!$A$3:$D$653,2,FALSE))</f>
        <v xml:space="preserve"> </v>
      </c>
      <c r="E195" s="73"/>
      <c r="F195" s="74">
        <f>IF(B195=0,0,VLOOKUP(C195,Tabela!$A$3:$D$653,4,FALSE))</f>
        <v>0</v>
      </c>
      <c r="G195" s="75">
        <f>IF(B195=0,0,VLOOKUP(C195,Tabela!$A$3:$D$653,3,FALSE))*IF($G$7="A VISTA",(100-$G$8)/100,1)</f>
        <v>0</v>
      </c>
      <c r="H195" s="76">
        <f t="shared" si="5"/>
        <v>0</v>
      </c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spans="2:26" x14ac:dyDescent="0.2">
      <c r="B196" s="95"/>
      <c r="C196" s="96"/>
      <c r="D196" s="72" t="str">
        <f>IF(B196=0," ",VLOOKUP(C196,Tabela!$A$3:$D$653,2,FALSE))</f>
        <v xml:space="preserve"> </v>
      </c>
      <c r="E196" s="73"/>
      <c r="F196" s="74">
        <f>IF(B196=0,0,VLOOKUP(C196,Tabela!$A$3:$D$653,4,FALSE))</f>
        <v>0</v>
      </c>
      <c r="G196" s="75">
        <f>IF(B196=0,0,VLOOKUP(C196,Tabela!$A$3:$D$653,3,FALSE))*IF($G$7="A VISTA",(100-$G$8)/100,1)</f>
        <v>0</v>
      </c>
      <c r="H196" s="76">
        <f t="shared" si="5"/>
        <v>0</v>
      </c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spans="2:26" x14ac:dyDescent="0.2">
      <c r="B197" s="95"/>
      <c r="C197" s="96"/>
      <c r="D197" s="72" t="str">
        <f>IF(B197=0," ",VLOOKUP(C197,Tabela!$A$3:$D$653,2,FALSE))</f>
        <v xml:space="preserve"> </v>
      </c>
      <c r="E197" s="73"/>
      <c r="F197" s="74">
        <f>IF(B197=0,0,VLOOKUP(C197,Tabela!$A$3:$D$653,4,FALSE))</f>
        <v>0</v>
      </c>
      <c r="G197" s="75">
        <f>IF(B197=0,0,VLOOKUP(C197,Tabela!$A$3:$D$653,3,FALSE))*IF($G$7="A VISTA",(100-$G$8)/100,1)</f>
        <v>0</v>
      </c>
      <c r="H197" s="76">
        <f t="shared" si="5"/>
        <v>0</v>
      </c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spans="2:26" x14ac:dyDescent="0.2">
      <c r="B198" s="95"/>
      <c r="C198" s="96"/>
      <c r="D198" s="72" t="str">
        <f>IF(B198=0," ",VLOOKUP(C198,Tabela!$A$3:$D$653,2,FALSE))</f>
        <v xml:space="preserve"> </v>
      </c>
      <c r="E198" s="73"/>
      <c r="F198" s="74">
        <f>IF(B198=0,0,VLOOKUP(C198,Tabela!$A$3:$D$653,4,FALSE))</f>
        <v>0</v>
      </c>
      <c r="G198" s="75">
        <f>IF(B198=0,0,VLOOKUP(C198,Tabela!$A$3:$D$653,3,FALSE))*IF($G$7="A VISTA",(100-$G$8)/100,1)</f>
        <v>0</v>
      </c>
      <c r="H198" s="76">
        <f t="shared" si="5"/>
        <v>0</v>
      </c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spans="2:26" x14ac:dyDescent="0.2">
      <c r="B199" s="95"/>
      <c r="C199" s="96"/>
      <c r="D199" s="72" t="str">
        <f>IF(B199=0," ",VLOOKUP(C199,Tabela!$A$3:$D$653,2,FALSE))</f>
        <v xml:space="preserve"> </v>
      </c>
      <c r="E199" s="73"/>
      <c r="F199" s="74">
        <f>IF(B199=0,0,VLOOKUP(C199,Tabela!$A$3:$D$653,4,FALSE))</f>
        <v>0</v>
      </c>
      <c r="G199" s="75">
        <f>IF(B199=0,0,VLOOKUP(C199,Tabela!$A$3:$D$653,3,FALSE))*IF($G$7="A VISTA",(100-$G$8)/100,1)</f>
        <v>0</v>
      </c>
      <c r="H199" s="76">
        <f t="shared" si="5"/>
        <v>0</v>
      </c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spans="2:26" x14ac:dyDescent="0.2">
      <c r="B200" s="95"/>
      <c r="C200" s="96"/>
      <c r="D200" s="72" t="str">
        <f>IF(B200=0," ",VLOOKUP(C200,Tabela!$A$3:$D$653,2,FALSE))</f>
        <v xml:space="preserve"> </v>
      </c>
      <c r="E200" s="73"/>
      <c r="F200" s="74">
        <f>IF(B200=0,0,VLOOKUP(C200,Tabela!$A$3:$D$653,4,FALSE))</f>
        <v>0</v>
      </c>
      <c r="G200" s="75">
        <f>IF(B200=0,0,VLOOKUP(C200,Tabela!$A$3:$D$653,3,FALSE))*IF($G$7="A VISTA",(100-$G$8)/100,1)</f>
        <v>0</v>
      </c>
      <c r="H200" s="76">
        <f t="shared" si="5"/>
        <v>0</v>
      </c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spans="2:26" x14ac:dyDescent="0.2">
      <c r="B201" s="95"/>
      <c r="C201" s="96"/>
      <c r="D201" s="72" t="str">
        <f>IF(B201=0," ",VLOOKUP(C201,Tabela!$A$3:$D$653,2,FALSE))</f>
        <v xml:space="preserve"> </v>
      </c>
      <c r="E201" s="73"/>
      <c r="F201" s="74">
        <f>IF(B201=0,0,VLOOKUP(C201,Tabela!$A$3:$D$653,4,FALSE))</f>
        <v>0</v>
      </c>
      <c r="G201" s="75">
        <f>IF(B201=0,0,VLOOKUP(C201,Tabela!$A$3:$D$653,3,FALSE))*IF($G$7="A VISTA",(100-$G$8)/100,1)</f>
        <v>0</v>
      </c>
      <c r="H201" s="76">
        <f t="shared" si="5"/>
        <v>0</v>
      </c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spans="2:26" x14ac:dyDescent="0.2">
      <c r="B202" s="95"/>
      <c r="C202" s="96"/>
      <c r="D202" s="72" t="str">
        <f>IF(B202=0," ",VLOOKUP(C202,Tabela!$A$3:$D$653,2,FALSE))</f>
        <v xml:space="preserve"> </v>
      </c>
      <c r="E202" s="73"/>
      <c r="F202" s="74">
        <f>IF(B202=0,0,VLOOKUP(C202,Tabela!$A$3:$D$653,4,FALSE))</f>
        <v>0</v>
      </c>
      <c r="G202" s="75">
        <f>IF(B202=0,0,VLOOKUP(C202,Tabela!$A$3:$D$653,3,FALSE))*IF($G$7="A VISTA",(100-$G$8)/100,1)</f>
        <v>0</v>
      </c>
      <c r="H202" s="76">
        <f t="shared" si="5"/>
        <v>0</v>
      </c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spans="2:26" x14ac:dyDescent="0.2">
      <c r="B203" s="95"/>
      <c r="C203" s="96"/>
      <c r="D203" s="72" t="str">
        <f>IF(B203=0," ",VLOOKUP(C203,Tabela!$A$3:$D$653,2,FALSE))</f>
        <v xml:space="preserve"> </v>
      </c>
      <c r="E203" s="73"/>
      <c r="F203" s="74">
        <f>IF(B203=0,0,VLOOKUP(C203,Tabela!$A$3:$D$653,4,FALSE))</f>
        <v>0</v>
      </c>
      <c r="G203" s="75">
        <f>IF(B203=0,0,VLOOKUP(C203,Tabela!$A$3:$D$653,3,FALSE))*IF($G$7="A VISTA",(100-$G$8)/100,1)</f>
        <v>0</v>
      </c>
      <c r="H203" s="76">
        <f t="shared" si="5"/>
        <v>0</v>
      </c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spans="2:26" x14ac:dyDescent="0.2">
      <c r="B204" s="95"/>
      <c r="C204" s="96"/>
      <c r="D204" s="72" t="str">
        <f>IF(B204=0," ",VLOOKUP(C204,Tabela!$A$3:$D$653,2,FALSE))</f>
        <v xml:space="preserve"> </v>
      </c>
      <c r="E204" s="73"/>
      <c r="F204" s="74">
        <f>IF(B204=0,0,VLOOKUP(C204,Tabela!$A$3:$D$653,4,FALSE))</f>
        <v>0</v>
      </c>
      <c r="G204" s="75">
        <f>IF(B204=0,0,VLOOKUP(C204,Tabela!$A$3:$D$653,3,FALSE))*IF($G$7="A VISTA",(100-$G$8)/100,1)</f>
        <v>0</v>
      </c>
      <c r="H204" s="76">
        <f t="shared" ref="H204:H217" si="6">B204*G204</f>
        <v>0</v>
      </c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spans="2:26" x14ac:dyDescent="0.2">
      <c r="B205" s="95"/>
      <c r="C205" s="96"/>
      <c r="D205" s="72" t="str">
        <f>IF(B205=0," ",VLOOKUP(C205,Tabela!$A$3:$D$653,2,FALSE))</f>
        <v xml:space="preserve"> </v>
      </c>
      <c r="E205" s="73"/>
      <c r="F205" s="74">
        <f>IF(B205=0,0,VLOOKUP(C205,Tabela!$A$3:$D$653,4,FALSE))</f>
        <v>0</v>
      </c>
      <c r="G205" s="75">
        <f>IF(B205=0,0,VLOOKUP(C205,Tabela!$A$3:$D$653,3,FALSE))*IF($G$7="A VISTA",(100-$G$8)/100,1)</f>
        <v>0</v>
      </c>
      <c r="H205" s="76">
        <f t="shared" si="6"/>
        <v>0</v>
      </c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spans="2:26" x14ac:dyDescent="0.2">
      <c r="B206" s="95"/>
      <c r="C206" s="96"/>
      <c r="D206" s="72" t="str">
        <f>IF(B206=0," ",VLOOKUP(C206,Tabela!$A$3:$D$653,2,FALSE))</f>
        <v xml:space="preserve"> </v>
      </c>
      <c r="E206" s="73"/>
      <c r="F206" s="74">
        <f>IF(B206=0,0,VLOOKUP(C206,Tabela!$A$3:$D$653,4,FALSE))</f>
        <v>0</v>
      </c>
      <c r="G206" s="75">
        <f>IF(B206=0,0,VLOOKUP(C206,Tabela!$A$3:$D$653,3,FALSE))*IF($G$7="A VISTA",(100-$G$8)/100,1)</f>
        <v>0</v>
      </c>
      <c r="H206" s="76">
        <f t="shared" si="6"/>
        <v>0</v>
      </c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spans="2:26" x14ac:dyDescent="0.2">
      <c r="B207" s="95"/>
      <c r="C207" s="96"/>
      <c r="D207" s="72" t="str">
        <f>IF(B207=0," ",VLOOKUP(C207,Tabela!$A$3:$D$653,2,FALSE))</f>
        <v xml:space="preserve"> </v>
      </c>
      <c r="E207" s="73"/>
      <c r="F207" s="74">
        <f>IF(B207=0,0,VLOOKUP(C207,Tabela!$A$3:$D$653,4,FALSE))</f>
        <v>0</v>
      </c>
      <c r="G207" s="75">
        <f>IF(B207=0,0,VLOOKUP(C207,Tabela!$A$3:$D$653,3,FALSE))*IF($G$7="A VISTA",(100-$G$8)/100,1)</f>
        <v>0</v>
      </c>
      <c r="H207" s="76">
        <f t="shared" si="6"/>
        <v>0</v>
      </c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spans="2:26" x14ac:dyDescent="0.2">
      <c r="B208" s="95"/>
      <c r="C208" s="96"/>
      <c r="D208" s="72" t="str">
        <f>IF(B208=0," ",VLOOKUP(C208,Tabela!$A$3:$D$653,2,FALSE))</f>
        <v xml:space="preserve"> </v>
      </c>
      <c r="E208" s="73"/>
      <c r="F208" s="74">
        <f>IF(B208=0,0,VLOOKUP(C208,Tabela!$A$3:$D$653,4,FALSE))</f>
        <v>0</v>
      </c>
      <c r="G208" s="75">
        <f>IF(B208=0,0,VLOOKUP(C208,Tabela!$A$3:$D$653,3,FALSE))*IF($G$7="A VISTA",(100-$G$8)/100,1)</f>
        <v>0</v>
      </c>
      <c r="H208" s="76">
        <f t="shared" si="6"/>
        <v>0</v>
      </c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spans="2:26" x14ac:dyDescent="0.2">
      <c r="B209" s="95"/>
      <c r="C209" s="96"/>
      <c r="D209" s="72" t="str">
        <f>IF(B209=0," ",VLOOKUP(C209,Tabela!$A$3:$D$653,2,FALSE))</f>
        <v xml:space="preserve"> </v>
      </c>
      <c r="E209" s="73"/>
      <c r="F209" s="74">
        <f>IF(B209=0,0,VLOOKUP(C209,Tabela!$A$3:$D$653,4,FALSE))</f>
        <v>0</v>
      </c>
      <c r="G209" s="75">
        <f>IF(B209=0,0,VLOOKUP(C209,Tabela!$A$3:$D$653,3,FALSE))*IF($G$7="A VISTA",(100-$G$8)/100,1)</f>
        <v>0</v>
      </c>
      <c r="H209" s="76">
        <f t="shared" si="6"/>
        <v>0</v>
      </c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spans="2:26" x14ac:dyDescent="0.2">
      <c r="B210" s="95"/>
      <c r="C210" s="96"/>
      <c r="D210" s="72" t="str">
        <f>IF(B210=0," ",VLOOKUP(C210,Tabela!$A$3:$D$653,2,FALSE))</f>
        <v xml:space="preserve"> </v>
      </c>
      <c r="E210" s="73"/>
      <c r="F210" s="74">
        <f>IF(B210=0,0,VLOOKUP(C210,Tabela!$A$3:$D$653,4,FALSE))</f>
        <v>0</v>
      </c>
      <c r="G210" s="75">
        <f>IF(B210=0,0,VLOOKUP(C210,Tabela!$A$3:$D$653,3,FALSE))*IF($G$7="A VISTA",(100-$G$8)/100,1)</f>
        <v>0</v>
      </c>
      <c r="H210" s="76">
        <f t="shared" si="6"/>
        <v>0</v>
      </c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spans="2:26" x14ac:dyDescent="0.2">
      <c r="B211" s="95"/>
      <c r="C211" s="96"/>
      <c r="D211" s="72" t="str">
        <f>IF(B211=0," ",VLOOKUP(C211,Tabela!$A$3:$D$653,2,FALSE))</f>
        <v xml:space="preserve"> </v>
      </c>
      <c r="E211" s="73"/>
      <c r="F211" s="74">
        <f>IF(B211=0,0,VLOOKUP(C211,Tabela!$A$3:$D$653,4,FALSE))</f>
        <v>0</v>
      </c>
      <c r="G211" s="75">
        <f>IF(B211=0,0,VLOOKUP(C211,Tabela!$A$3:$D$653,3,FALSE))*IF($G$7="A VISTA",(100-$G$8)/100,1)</f>
        <v>0</v>
      </c>
      <c r="H211" s="76">
        <f t="shared" si="6"/>
        <v>0</v>
      </c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spans="2:26" x14ac:dyDescent="0.2">
      <c r="B212" s="95"/>
      <c r="C212" s="96"/>
      <c r="D212" s="72" t="str">
        <f>IF(B212=0," ",VLOOKUP(C212,Tabela!$A$3:$D$653,2,FALSE))</f>
        <v xml:space="preserve"> </v>
      </c>
      <c r="E212" s="73"/>
      <c r="F212" s="74">
        <f>IF(B212=0,0,VLOOKUP(C212,Tabela!$A$3:$D$653,4,FALSE))</f>
        <v>0</v>
      </c>
      <c r="G212" s="75">
        <f>IF(B212=0,0,VLOOKUP(C212,Tabela!$A$3:$D$653,3,FALSE))*IF($G$7="A VISTA",(100-$G$8)/100,1)</f>
        <v>0</v>
      </c>
      <c r="H212" s="76">
        <f t="shared" si="6"/>
        <v>0</v>
      </c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spans="2:26" x14ac:dyDescent="0.2">
      <c r="B213" s="95"/>
      <c r="C213" s="96"/>
      <c r="D213" s="72" t="str">
        <f>IF(B213=0," ",VLOOKUP(C213,Tabela!$A$3:$D$653,2,FALSE))</f>
        <v xml:space="preserve"> </v>
      </c>
      <c r="E213" s="73"/>
      <c r="F213" s="74">
        <f>IF(B213=0,0,VLOOKUP(C213,Tabela!$A$3:$D$653,4,FALSE))</f>
        <v>0</v>
      </c>
      <c r="G213" s="75">
        <f>IF(B213=0,0,VLOOKUP(C213,Tabela!$A$3:$D$653,3,FALSE))*IF($G$7="A VISTA",(100-$G$8)/100,1)</f>
        <v>0</v>
      </c>
      <c r="H213" s="76">
        <f t="shared" si="6"/>
        <v>0</v>
      </c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spans="2:26" x14ac:dyDescent="0.2">
      <c r="B214" s="95"/>
      <c r="C214" s="96"/>
      <c r="D214" s="72" t="str">
        <f>IF(B214=0," ",VLOOKUP(C214,Tabela!$A$3:$D$653,2,FALSE))</f>
        <v xml:space="preserve"> </v>
      </c>
      <c r="E214" s="73"/>
      <c r="F214" s="74">
        <f>IF(B214=0,0,VLOOKUP(C214,Tabela!$A$3:$D$653,4,FALSE))</f>
        <v>0</v>
      </c>
      <c r="G214" s="75">
        <f>IF(B214=0,0,VLOOKUP(C214,Tabela!$A$3:$D$653,3,FALSE))*IF($G$7="A VISTA",(100-$G$8)/100,1)</f>
        <v>0</v>
      </c>
      <c r="H214" s="76">
        <f t="shared" si="6"/>
        <v>0</v>
      </c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spans="2:26" x14ac:dyDescent="0.2">
      <c r="B215" s="95"/>
      <c r="C215" s="96"/>
      <c r="D215" s="72" t="str">
        <f>IF(B215=0," ",VLOOKUP(C215,Tabela!$A$3:$D$653,2,FALSE))</f>
        <v xml:space="preserve"> </v>
      </c>
      <c r="E215" s="73"/>
      <c r="F215" s="74">
        <f>IF(B215=0,0,VLOOKUP(C215,Tabela!$A$3:$D$653,4,FALSE))</f>
        <v>0</v>
      </c>
      <c r="G215" s="75">
        <f>IF(B215=0,0,VLOOKUP(C215,Tabela!$A$3:$D$653,3,FALSE))*IF($G$7="A VISTA",(100-$G$8)/100,1)</f>
        <v>0</v>
      </c>
      <c r="H215" s="76">
        <f t="shared" si="6"/>
        <v>0</v>
      </c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spans="2:26" x14ac:dyDescent="0.2">
      <c r="B216" s="95"/>
      <c r="C216" s="96"/>
      <c r="D216" s="72" t="str">
        <f>IF(B216=0," ",VLOOKUP(C216,Tabela!$A$3:$D$653,2,FALSE))</f>
        <v xml:space="preserve"> </v>
      </c>
      <c r="E216" s="73"/>
      <c r="F216" s="74">
        <f>IF(B216=0,0,VLOOKUP(C216,Tabela!$A$3:$D$653,4,FALSE))</f>
        <v>0</v>
      </c>
      <c r="G216" s="75">
        <f>IF(B216=0,0,VLOOKUP(C216,Tabela!$A$3:$D$653,3,FALSE))*IF($G$7="A VISTA",(100-$G$8)/100,1)</f>
        <v>0</v>
      </c>
      <c r="H216" s="76">
        <f t="shared" si="6"/>
        <v>0</v>
      </c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spans="2:26" x14ac:dyDescent="0.2">
      <c r="B217" s="95"/>
      <c r="C217" s="96"/>
      <c r="D217" s="72" t="str">
        <f>IF(B217=0," ",VLOOKUP(C217,Tabela!$A$3:$D$653,2,FALSE))</f>
        <v xml:space="preserve"> </v>
      </c>
      <c r="E217" s="73"/>
      <c r="F217" s="74">
        <f>IF(B217=0,0,VLOOKUP(C217,Tabela!$A$3:$D$653,4,FALSE))</f>
        <v>0</v>
      </c>
      <c r="G217" s="75">
        <f>IF(B217=0,0,VLOOKUP(C217,Tabela!$A$3:$D$653,3,FALSE))*IF($G$7="A VISTA",(100-$G$8)/100,1)</f>
        <v>0</v>
      </c>
      <c r="H217" s="76">
        <f t="shared" si="6"/>
        <v>0</v>
      </c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spans="2:26" x14ac:dyDescent="0.2">
      <c r="B218" s="95"/>
      <c r="C218" s="96"/>
      <c r="D218" s="72" t="str">
        <f>IF(B218=0," ",VLOOKUP(C218,Tabela!$A$3:$D$653,2,FALSE))</f>
        <v xml:space="preserve"> </v>
      </c>
      <c r="E218" s="73"/>
      <c r="F218" s="74">
        <f>IF(B218=0,0,VLOOKUP(C218,Tabela!$A$3:$D$653,4,FALSE))</f>
        <v>0</v>
      </c>
      <c r="G218" s="75">
        <f>IF(B218=0,0,VLOOKUP(C218,Tabela!$A$3:$D$653,3,FALSE))*IF($G$7="A VISTA",(100-$G$8)/100,1)</f>
        <v>0</v>
      </c>
      <c r="H218" s="76">
        <f t="shared" ref="H218:H267" si="7">B218*G218</f>
        <v>0</v>
      </c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spans="2:26" x14ac:dyDescent="0.2">
      <c r="B219" s="95"/>
      <c r="C219" s="96"/>
      <c r="D219" s="72" t="str">
        <f>IF(B219=0," ",VLOOKUP(C219,Tabela!$A$3:$D$653,2,FALSE))</f>
        <v xml:space="preserve"> </v>
      </c>
      <c r="E219" s="73"/>
      <c r="F219" s="74">
        <f>IF(B219=0,0,VLOOKUP(C219,Tabela!$A$3:$D$653,4,FALSE))</f>
        <v>0</v>
      </c>
      <c r="G219" s="75">
        <f>IF(B219=0,0,VLOOKUP(C219,Tabela!$A$3:$D$653,3,FALSE))*IF($G$7="A VISTA",(100-$G$8)/100,1)</f>
        <v>0</v>
      </c>
      <c r="H219" s="76">
        <f t="shared" si="7"/>
        <v>0</v>
      </c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spans="2:26" x14ac:dyDescent="0.2">
      <c r="B220" s="95"/>
      <c r="C220" s="96"/>
      <c r="D220" s="72" t="str">
        <f>IF(B220=0," ",VLOOKUP(C220,Tabela!$A$3:$D$653,2,FALSE))</f>
        <v xml:space="preserve"> </v>
      </c>
      <c r="E220" s="73"/>
      <c r="F220" s="74">
        <f>IF(B220=0,0,VLOOKUP(C220,Tabela!$A$3:$D$653,4,FALSE))</f>
        <v>0</v>
      </c>
      <c r="G220" s="75">
        <f>IF(B220=0,0,VLOOKUP(C220,Tabela!$A$3:$D$653,3,FALSE))*IF($G$7="A VISTA",(100-$G$8)/100,1)</f>
        <v>0</v>
      </c>
      <c r="H220" s="76">
        <f t="shared" si="7"/>
        <v>0</v>
      </c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spans="2:26" x14ac:dyDescent="0.2">
      <c r="B221" s="95"/>
      <c r="C221" s="96"/>
      <c r="D221" s="72" t="str">
        <f>IF(B221=0," ",VLOOKUP(C221,Tabela!$A$3:$D$653,2,FALSE))</f>
        <v xml:space="preserve"> </v>
      </c>
      <c r="E221" s="73"/>
      <c r="F221" s="74">
        <f>IF(B221=0,0,VLOOKUP(C221,Tabela!$A$3:$D$653,4,FALSE))</f>
        <v>0</v>
      </c>
      <c r="G221" s="75">
        <f>IF(B221=0,0,VLOOKUP(C221,Tabela!$A$3:$D$653,3,FALSE))*IF($G$7="A VISTA",(100-$G$8)/100,1)</f>
        <v>0</v>
      </c>
      <c r="H221" s="76">
        <f t="shared" si="7"/>
        <v>0</v>
      </c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spans="2:26" x14ac:dyDescent="0.2">
      <c r="B222" s="95"/>
      <c r="C222" s="96"/>
      <c r="D222" s="72" t="str">
        <f>IF(B222=0," ",VLOOKUP(C222,Tabela!$A$3:$D$653,2,FALSE))</f>
        <v xml:space="preserve"> </v>
      </c>
      <c r="E222" s="73"/>
      <c r="F222" s="74">
        <f>IF(B222=0,0,VLOOKUP(C222,Tabela!$A$3:$D$653,4,FALSE))</f>
        <v>0</v>
      </c>
      <c r="G222" s="75">
        <f>IF(B222=0,0,VLOOKUP(C222,Tabela!$A$3:$D$653,3,FALSE))*IF($G$7="A VISTA",(100-$G$8)/100,1)</f>
        <v>0</v>
      </c>
      <c r="H222" s="76">
        <f t="shared" si="7"/>
        <v>0</v>
      </c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spans="2:26" x14ac:dyDescent="0.2">
      <c r="B223" s="95"/>
      <c r="C223" s="96"/>
      <c r="D223" s="72" t="str">
        <f>IF(B223=0," ",VLOOKUP(C223,Tabela!$A$3:$D$653,2,FALSE))</f>
        <v xml:space="preserve"> </v>
      </c>
      <c r="E223" s="73"/>
      <c r="F223" s="74">
        <f>IF(B223=0,0,VLOOKUP(C223,Tabela!$A$3:$D$653,4,FALSE))</f>
        <v>0</v>
      </c>
      <c r="G223" s="75">
        <f>IF(B223=0,0,VLOOKUP(C223,Tabela!$A$3:$D$653,3,FALSE))*IF($G$7="A VISTA",(100-$G$8)/100,1)</f>
        <v>0</v>
      </c>
      <c r="H223" s="76">
        <f t="shared" si="7"/>
        <v>0</v>
      </c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spans="2:26" x14ac:dyDescent="0.2">
      <c r="B224" s="95"/>
      <c r="C224" s="96"/>
      <c r="D224" s="72" t="str">
        <f>IF(B224=0," ",VLOOKUP(C224,Tabela!$A$3:$D$653,2,FALSE))</f>
        <v xml:space="preserve"> </v>
      </c>
      <c r="E224" s="73"/>
      <c r="F224" s="74">
        <f>IF(B224=0,0,VLOOKUP(C224,Tabela!$A$3:$D$653,4,FALSE))</f>
        <v>0</v>
      </c>
      <c r="G224" s="75">
        <f>IF(B224=0,0,VLOOKUP(C224,Tabela!$A$3:$D$653,3,FALSE))*IF($G$7="A VISTA",(100-$G$8)/100,1)</f>
        <v>0</v>
      </c>
      <c r="H224" s="76">
        <f t="shared" si="7"/>
        <v>0</v>
      </c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spans="2:26" x14ac:dyDescent="0.2">
      <c r="B225" s="95"/>
      <c r="C225" s="96"/>
      <c r="D225" s="72" t="str">
        <f>IF(B225=0," ",VLOOKUP(C225,Tabela!$A$3:$D$653,2,FALSE))</f>
        <v xml:space="preserve"> </v>
      </c>
      <c r="E225" s="73"/>
      <c r="F225" s="74">
        <f>IF(B225=0,0,VLOOKUP(C225,Tabela!$A$3:$D$653,4,FALSE))</f>
        <v>0</v>
      </c>
      <c r="G225" s="75">
        <f>IF(B225=0,0,VLOOKUP(C225,Tabela!$A$3:$D$653,3,FALSE))*IF($G$7="A VISTA",(100-$G$8)/100,1)</f>
        <v>0</v>
      </c>
      <c r="H225" s="76">
        <f t="shared" si="7"/>
        <v>0</v>
      </c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spans="2:26" x14ac:dyDescent="0.2">
      <c r="B226" s="95"/>
      <c r="C226" s="96"/>
      <c r="D226" s="72" t="str">
        <f>IF(B226=0," ",VLOOKUP(C226,Tabela!$A$3:$D$653,2,FALSE))</f>
        <v xml:space="preserve"> </v>
      </c>
      <c r="E226" s="73"/>
      <c r="F226" s="74">
        <f>IF(B226=0,0,VLOOKUP(C226,Tabela!$A$3:$D$653,4,FALSE))</f>
        <v>0</v>
      </c>
      <c r="G226" s="75">
        <f>IF(B226=0,0,VLOOKUP(C226,Tabela!$A$3:$D$653,3,FALSE))*IF($G$7="A VISTA",(100-$G$8)/100,1)</f>
        <v>0</v>
      </c>
      <c r="H226" s="76">
        <f t="shared" si="7"/>
        <v>0</v>
      </c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spans="2:26" x14ac:dyDescent="0.2">
      <c r="B227" s="95"/>
      <c r="C227" s="96"/>
      <c r="D227" s="72" t="str">
        <f>IF(B227=0," ",VLOOKUP(C227,Tabela!$A$3:$D$653,2,FALSE))</f>
        <v xml:space="preserve"> </v>
      </c>
      <c r="E227" s="73"/>
      <c r="F227" s="74">
        <f>IF(B227=0,0,VLOOKUP(C227,Tabela!$A$3:$D$653,4,FALSE))</f>
        <v>0</v>
      </c>
      <c r="G227" s="75">
        <f>IF(B227=0,0,VLOOKUP(C227,Tabela!$A$3:$D$653,3,FALSE))*IF($G$7="A VISTA",(100-$G$8)/100,1)</f>
        <v>0</v>
      </c>
      <c r="H227" s="76">
        <f t="shared" si="7"/>
        <v>0</v>
      </c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spans="2:26" x14ac:dyDescent="0.2">
      <c r="B228" s="95"/>
      <c r="C228" s="96"/>
      <c r="D228" s="72" t="str">
        <f>IF(B228=0," ",VLOOKUP(C228,Tabela!$A$3:$D$653,2,FALSE))</f>
        <v xml:space="preserve"> </v>
      </c>
      <c r="E228" s="73"/>
      <c r="F228" s="74">
        <f>IF(B228=0,0,VLOOKUP(C228,Tabela!$A$3:$D$653,4,FALSE))</f>
        <v>0</v>
      </c>
      <c r="G228" s="75">
        <f>IF(B228=0,0,VLOOKUP(C228,Tabela!$A$3:$D$653,3,FALSE))*IF($G$7="A VISTA",(100-$G$8)/100,1)</f>
        <v>0</v>
      </c>
      <c r="H228" s="76">
        <f t="shared" si="7"/>
        <v>0</v>
      </c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spans="2:26" x14ac:dyDescent="0.2">
      <c r="B229" s="95"/>
      <c r="C229" s="96"/>
      <c r="D229" s="72" t="str">
        <f>IF(B229=0," ",VLOOKUP(C229,Tabela!$A$3:$D$653,2,FALSE))</f>
        <v xml:space="preserve"> </v>
      </c>
      <c r="E229" s="73"/>
      <c r="F229" s="74">
        <f>IF(B229=0,0,VLOOKUP(C229,Tabela!$A$3:$D$653,4,FALSE))</f>
        <v>0</v>
      </c>
      <c r="G229" s="75">
        <f>IF(B229=0,0,VLOOKUP(C229,Tabela!$A$3:$D$653,3,FALSE))*IF($G$7="A VISTA",(100-$G$8)/100,1)</f>
        <v>0</v>
      </c>
      <c r="H229" s="76">
        <f t="shared" si="7"/>
        <v>0</v>
      </c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spans="2:26" x14ac:dyDescent="0.2">
      <c r="B230" s="95"/>
      <c r="C230" s="96"/>
      <c r="D230" s="72" t="str">
        <f>IF(B230=0," ",VLOOKUP(C230,Tabela!$A$3:$D$653,2,FALSE))</f>
        <v xml:space="preserve"> </v>
      </c>
      <c r="E230" s="73"/>
      <c r="F230" s="74">
        <f>IF(B230=0,0,VLOOKUP(C230,Tabela!$A$3:$D$653,4,FALSE))</f>
        <v>0</v>
      </c>
      <c r="G230" s="75">
        <f>IF(B230=0,0,VLOOKUP(C230,Tabela!$A$3:$D$653,3,FALSE))*IF($G$7="A VISTA",(100-$G$8)/100,1)</f>
        <v>0</v>
      </c>
      <c r="H230" s="76">
        <f t="shared" si="7"/>
        <v>0</v>
      </c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spans="2:26" x14ac:dyDescent="0.2">
      <c r="B231" s="95"/>
      <c r="C231" s="96"/>
      <c r="D231" s="72" t="str">
        <f>IF(B231=0," ",VLOOKUP(C231,Tabela!$A$3:$D$653,2,FALSE))</f>
        <v xml:space="preserve"> </v>
      </c>
      <c r="E231" s="73"/>
      <c r="F231" s="74">
        <f>IF(B231=0,0,VLOOKUP(C231,Tabela!$A$3:$D$653,4,FALSE))</f>
        <v>0</v>
      </c>
      <c r="G231" s="75">
        <f>IF(B231=0,0,VLOOKUP(C231,Tabela!$A$3:$D$653,3,FALSE))*IF($G$7="A VISTA",(100-$G$8)/100,1)</f>
        <v>0</v>
      </c>
      <c r="H231" s="76">
        <f t="shared" si="7"/>
        <v>0</v>
      </c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spans="2:26" x14ac:dyDescent="0.2">
      <c r="B232" s="95"/>
      <c r="C232" s="96"/>
      <c r="D232" s="72" t="str">
        <f>IF(B232=0," ",VLOOKUP(C232,Tabela!$A$3:$D$653,2,FALSE))</f>
        <v xml:space="preserve"> </v>
      </c>
      <c r="E232" s="73"/>
      <c r="F232" s="74">
        <f>IF(B232=0,0,VLOOKUP(C232,Tabela!$A$3:$D$653,4,FALSE))</f>
        <v>0</v>
      </c>
      <c r="G232" s="75">
        <f>IF(B232=0,0,VLOOKUP(C232,Tabela!$A$3:$D$653,3,FALSE))*IF($G$7="A VISTA",(100-$G$8)/100,1)</f>
        <v>0</v>
      </c>
      <c r="H232" s="76">
        <f t="shared" si="7"/>
        <v>0</v>
      </c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spans="2:26" x14ac:dyDescent="0.2">
      <c r="B233" s="95"/>
      <c r="C233" s="96"/>
      <c r="D233" s="72" t="str">
        <f>IF(B233=0," ",VLOOKUP(C233,Tabela!$A$3:$D$653,2,FALSE))</f>
        <v xml:space="preserve"> </v>
      </c>
      <c r="E233" s="73"/>
      <c r="F233" s="74">
        <f>IF(B233=0,0,VLOOKUP(C233,Tabela!$A$3:$D$653,4,FALSE))</f>
        <v>0</v>
      </c>
      <c r="G233" s="75">
        <f>IF(B233=0,0,VLOOKUP(C233,Tabela!$A$3:$D$653,3,FALSE))*IF($G$7="A VISTA",(100-$G$8)/100,1)</f>
        <v>0</v>
      </c>
      <c r="H233" s="76">
        <f t="shared" si="7"/>
        <v>0</v>
      </c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spans="2:26" x14ac:dyDescent="0.2">
      <c r="B234" s="95"/>
      <c r="C234" s="96"/>
      <c r="D234" s="72" t="str">
        <f>IF(B234=0," ",VLOOKUP(C234,Tabela!$A$3:$D$653,2,FALSE))</f>
        <v xml:space="preserve"> </v>
      </c>
      <c r="E234" s="73"/>
      <c r="F234" s="74">
        <f>IF(B234=0,0,VLOOKUP(C234,Tabela!$A$3:$D$653,4,FALSE))</f>
        <v>0</v>
      </c>
      <c r="G234" s="75">
        <f>IF(B234=0,0,VLOOKUP(C234,Tabela!$A$3:$D$653,3,FALSE))*IF($G$7="A VISTA",(100-$G$8)/100,1)</f>
        <v>0</v>
      </c>
      <c r="H234" s="76">
        <f t="shared" si="7"/>
        <v>0</v>
      </c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spans="2:26" x14ac:dyDescent="0.2">
      <c r="B235" s="95"/>
      <c r="C235" s="96"/>
      <c r="D235" s="72" t="str">
        <f>IF(B235=0," ",VLOOKUP(C235,Tabela!$A$3:$D$653,2,FALSE))</f>
        <v xml:space="preserve"> </v>
      </c>
      <c r="E235" s="73"/>
      <c r="F235" s="74">
        <f>IF(B235=0,0,VLOOKUP(C235,Tabela!$A$3:$D$653,4,FALSE))</f>
        <v>0</v>
      </c>
      <c r="G235" s="75">
        <f>IF(B235=0,0,VLOOKUP(C235,Tabela!$A$3:$D$653,3,FALSE))*IF($G$7="A VISTA",(100-$G$8)/100,1)</f>
        <v>0</v>
      </c>
      <c r="H235" s="76">
        <f t="shared" si="7"/>
        <v>0</v>
      </c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spans="2:26" x14ac:dyDescent="0.2">
      <c r="B236" s="95"/>
      <c r="C236" s="96"/>
      <c r="D236" s="72" t="str">
        <f>IF(B236=0," ",VLOOKUP(C236,Tabela!$A$3:$D$653,2,FALSE))</f>
        <v xml:space="preserve"> </v>
      </c>
      <c r="E236" s="73"/>
      <c r="F236" s="74">
        <f>IF(B236=0,0,VLOOKUP(C236,Tabela!$A$3:$D$653,4,FALSE))</f>
        <v>0</v>
      </c>
      <c r="G236" s="75">
        <f>IF(B236=0,0,VLOOKUP(C236,Tabela!$A$3:$D$653,3,FALSE))*IF($G$7="A VISTA",(100-$G$8)/100,1)</f>
        <v>0</v>
      </c>
      <c r="H236" s="76">
        <f t="shared" si="7"/>
        <v>0</v>
      </c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spans="2:26" x14ac:dyDescent="0.2">
      <c r="B237" s="95"/>
      <c r="C237" s="96"/>
      <c r="D237" s="72" t="str">
        <f>IF(B237=0," ",VLOOKUP(C237,Tabela!$A$3:$D$653,2,FALSE))</f>
        <v xml:space="preserve"> </v>
      </c>
      <c r="E237" s="73"/>
      <c r="F237" s="74">
        <f>IF(B237=0,0,VLOOKUP(C237,Tabela!$A$3:$D$653,4,FALSE))</f>
        <v>0</v>
      </c>
      <c r="G237" s="75">
        <f>IF(B237=0,0,VLOOKUP(C237,Tabela!$A$3:$D$653,3,FALSE))*IF($G$7="A VISTA",(100-$G$8)/100,1)</f>
        <v>0</v>
      </c>
      <c r="H237" s="76">
        <f t="shared" si="7"/>
        <v>0</v>
      </c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spans="2:26" x14ac:dyDescent="0.2">
      <c r="B238" s="95"/>
      <c r="C238" s="96"/>
      <c r="D238" s="72" t="str">
        <f>IF(B238=0," ",VLOOKUP(C238,Tabela!$A$3:$D$653,2,FALSE))</f>
        <v xml:space="preserve"> </v>
      </c>
      <c r="E238" s="73"/>
      <c r="F238" s="74">
        <f>IF(B238=0,0,VLOOKUP(C238,Tabela!$A$3:$D$653,4,FALSE))</f>
        <v>0</v>
      </c>
      <c r="G238" s="75">
        <f>IF(B238=0,0,VLOOKUP(C238,Tabela!$A$3:$D$653,3,FALSE))*IF($G$7="A VISTA",(100-$G$8)/100,1)</f>
        <v>0</v>
      </c>
      <c r="H238" s="76">
        <f t="shared" si="7"/>
        <v>0</v>
      </c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spans="2:26" x14ac:dyDescent="0.2">
      <c r="B239" s="95"/>
      <c r="C239" s="96"/>
      <c r="D239" s="72" t="str">
        <f>IF(B239=0," ",VLOOKUP(C239,Tabela!$A$3:$D$653,2,FALSE))</f>
        <v xml:space="preserve"> </v>
      </c>
      <c r="E239" s="73"/>
      <c r="F239" s="74">
        <f>IF(B239=0,0,VLOOKUP(C239,Tabela!$A$3:$D$653,4,FALSE))</f>
        <v>0</v>
      </c>
      <c r="G239" s="75">
        <f>IF(B239=0,0,VLOOKUP(C239,Tabela!$A$3:$D$653,3,FALSE))*IF($G$7="A VISTA",(100-$G$8)/100,1)</f>
        <v>0</v>
      </c>
      <c r="H239" s="76">
        <f t="shared" si="7"/>
        <v>0</v>
      </c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spans="2:26" x14ac:dyDescent="0.2">
      <c r="B240" s="95"/>
      <c r="C240" s="96"/>
      <c r="D240" s="72" t="str">
        <f>IF(B240=0," ",VLOOKUP(C240,Tabela!$A$3:$D$653,2,FALSE))</f>
        <v xml:space="preserve"> </v>
      </c>
      <c r="E240" s="73"/>
      <c r="F240" s="74">
        <f>IF(B240=0,0,VLOOKUP(C240,Tabela!$A$3:$D$653,4,FALSE))</f>
        <v>0</v>
      </c>
      <c r="G240" s="75">
        <f>IF(B240=0,0,VLOOKUP(C240,Tabela!$A$3:$D$653,3,FALSE))*IF($G$7="A VISTA",(100-$G$8)/100,1)</f>
        <v>0</v>
      </c>
      <c r="H240" s="76">
        <f t="shared" si="7"/>
        <v>0</v>
      </c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spans="2:26" x14ac:dyDescent="0.2">
      <c r="B241" s="95"/>
      <c r="C241" s="96"/>
      <c r="D241" s="72" t="str">
        <f>IF(B241=0," ",VLOOKUP(C241,Tabela!$A$3:$D$653,2,FALSE))</f>
        <v xml:space="preserve"> </v>
      </c>
      <c r="E241" s="73"/>
      <c r="F241" s="74">
        <f>IF(B241=0,0,VLOOKUP(C241,Tabela!$A$3:$D$653,4,FALSE))</f>
        <v>0</v>
      </c>
      <c r="G241" s="75">
        <f>IF(B241=0,0,VLOOKUP(C241,Tabela!$A$3:$D$653,3,FALSE))*IF($G$7="A VISTA",(100-$G$8)/100,1)</f>
        <v>0</v>
      </c>
      <c r="H241" s="76">
        <f t="shared" si="7"/>
        <v>0</v>
      </c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spans="2:26" x14ac:dyDescent="0.2">
      <c r="B242" s="95"/>
      <c r="C242" s="96"/>
      <c r="D242" s="72" t="str">
        <f>IF(B242=0," ",VLOOKUP(C242,Tabela!$A$3:$D$653,2,FALSE))</f>
        <v xml:space="preserve"> </v>
      </c>
      <c r="E242" s="73"/>
      <c r="F242" s="74">
        <f>IF(B242=0,0,VLOOKUP(C242,Tabela!$A$3:$D$653,4,FALSE))</f>
        <v>0</v>
      </c>
      <c r="G242" s="75">
        <f>IF(B242=0,0,VLOOKUP(C242,Tabela!$A$3:$D$653,3,FALSE))*IF($G$7="A VISTA",(100-$G$8)/100,1)</f>
        <v>0</v>
      </c>
      <c r="H242" s="76">
        <f t="shared" si="7"/>
        <v>0</v>
      </c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spans="2:26" x14ac:dyDescent="0.2">
      <c r="B243" s="95"/>
      <c r="C243" s="96"/>
      <c r="D243" s="72" t="str">
        <f>IF(B243=0," ",VLOOKUP(C243,Tabela!$A$3:$D$653,2,FALSE))</f>
        <v xml:space="preserve"> </v>
      </c>
      <c r="E243" s="73"/>
      <c r="F243" s="74">
        <f>IF(B243=0,0,VLOOKUP(C243,Tabela!$A$3:$D$653,4,FALSE))</f>
        <v>0</v>
      </c>
      <c r="G243" s="75">
        <f>IF(B243=0,0,VLOOKUP(C243,Tabela!$A$3:$D$653,3,FALSE))*IF($G$7="A VISTA",(100-$G$8)/100,1)</f>
        <v>0</v>
      </c>
      <c r="H243" s="76">
        <f t="shared" si="7"/>
        <v>0</v>
      </c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spans="2:26" x14ac:dyDescent="0.2">
      <c r="B244" s="95"/>
      <c r="C244" s="96"/>
      <c r="D244" s="72" t="str">
        <f>IF(B244=0," ",VLOOKUP(C244,Tabela!$A$3:$D$653,2,FALSE))</f>
        <v xml:space="preserve"> </v>
      </c>
      <c r="E244" s="73"/>
      <c r="F244" s="74">
        <f>IF(B244=0,0,VLOOKUP(C244,Tabela!$A$3:$D$653,4,FALSE))</f>
        <v>0</v>
      </c>
      <c r="G244" s="75">
        <f>IF(B244=0,0,VLOOKUP(C244,Tabela!$A$3:$D$653,3,FALSE))*IF($G$7="A VISTA",(100-$G$8)/100,1)</f>
        <v>0</v>
      </c>
      <c r="H244" s="76">
        <f t="shared" si="7"/>
        <v>0</v>
      </c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spans="2:26" x14ac:dyDescent="0.2">
      <c r="B245" s="95"/>
      <c r="C245" s="96"/>
      <c r="D245" s="72" t="str">
        <f>IF(B245=0," ",VLOOKUP(C245,Tabela!$A$3:$D$653,2,FALSE))</f>
        <v xml:space="preserve"> </v>
      </c>
      <c r="E245" s="73"/>
      <c r="F245" s="74">
        <f>IF(B245=0,0,VLOOKUP(C245,Tabela!$A$3:$D$653,4,FALSE))</f>
        <v>0</v>
      </c>
      <c r="G245" s="75">
        <f>IF(B245=0,0,VLOOKUP(C245,Tabela!$A$3:$D$653,3,FALSE))*IF($G$7="A VISTA",(100-$G$8)/100,1)</f>
        <v>0</v>
      </c>
      <c r="H245" s="76">
        <f t="shared" si="7"/>
        <v>0</v>
      </c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spans="2:26" x14ac:dyDescent="0.2">
      <c r="B246" s="95"/>
      <c r="C246" s="96"/>
      <c r="D246" s="72" t="str">
        <f>IF(B246=0," ",VLOOKUP(C246,Tabela!$A$3:$D$653,2,FALSE))</f>
        <v xml:space="preserve"> </v>
      </c>
      <c r="E246" s="73"/>
      <c r="F246" s="74">
        <f>IF(B246=0,0,VLOOKUP(C246,Tabela!$A$3:$D$653,4,FALSE))</f>
        <v>0</v>
      </c>
      <c r="G246" s="75">
        <f>IF(B246=0,0,VLOOKUP(C246,Tabela!$A$3:$D$653,3,FALSE))*IF($G$7="A VISTA",(100-$G$8)/100,1)</f>
        <v>0</v>
      </c>
      <c r="H246" s="76">
        <f t="shared" si="7"/>
        <v>0</v>
      </c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spans="2:26" x14ac:dyDescent="0.2">
      <c r="B247" s="95"/>
      <c r="C247" s="96"/>
      <c r="D247" s="72" t="str">
        <f>IF(B247=0," ",VLOOKUP(C247,Tabela!$A$3:$D$653,2,FALSE))</f>
        <v xml:space="preserve"> </v>
      </c>
      <c r="E247" s="73"/>
      <c r="F247" s="74">
        <f>IF(B247=0,0,VLOOKUP(C247,Tabela!$A$3:$D$653,4,FALSE))</f>
        <v>0</v>
      </c>
      <c r="G247" s="75">
        <f>IF(B247=0,0,VLOOKUP(C247,Tabela!$A$3:$D$653,3,FALSE))*IF($G$7="A VISTA",(100-$G$8)/100,1)</f>
        <v>0</v>
      </c>
      <c r="H247" s="76">
        <f t="shared" si="7"/>
        <v>0</v>
      </c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spans="2:26" x14ac:dyDescent="0.2">
      <c r="B248" s="95"/>
      <c r="C248" s="96"/>
      <c r="D248" s="72" t="str">
        <f>IF(B248=0," ",VLOOKUP(C248,Tabela!$A$3:$D$653,2,FALSE))</f>
        <v xml:space="preserve"> </v>
      </c>
      <c r="E248" s="73"/>
      <c r="F248" s="74">
        <f>IF(B248=0,0,VLOOKUP(C248,Tabela!$A$3:$D$653,4,FALSE))</f>
        <v>0</v>
      </c>
      <c r="G248" s="75">
        <f>IF(B248=0,0,VLOOKUP(C248,Tabela!$A$3:$D$653,3,FALSE))*IF($G$7="A VISTA",(100-$G$8)/100,1)</f>
        <v>0</v>
      </c>
      <c r="H248" s="76">
        <f t="shared" si="7"/>
        <v>0</v>
      </c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spans="2:26" x14ac:dyDescent="0.2">
      <c r="B249" s="95"/>
      <c r="C249" s="96"/>
      <c r="D249" s="72" t="str">
        <f>IF(B249=0," ",VLOOKUP(C249,Tabela!$A$3:$D$653,2,FALSE))</f>
        <v xml:space="preserve"> </v>
      </c>
      <c r="E249" s="73"/>
      <c r="F249" s="74">
        <f>IF(B249=0,0,VLOOKUP(C249,Tabela!$A$3:$D$653,4,FALSE))</f>
        <v>0</v>
      </c>
      <c r="G249" s="75">
        <f>IF(B249=0,0,VLOOKUP(C249,Tabela!$A$3:$D$653,3,FALSE))*IF($G$7="A VISTA",(100-$G$8)/100,1)</f>
        <v>0</v>
      </c>
      <c r="H249" s="76">
        <f t="shared" si="7"/>
        <v>0</v>
      </c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spans="2:26" x14ac:dyDescent="0.2">
      <c r="B250" s="95"/>
      <c r="C250" s="96"/>
      <c r="D250" s="72" t="str">
        <f>IF(B250=0," ",VLOOKUP(C250,Tabela!$A$3:$D$653,2,FALSE))</f>
        <v xml:space="preserve"> </v>
      </c>
      <c r="E250" s="73"/>
      <c r="F250" s="74">
        <f>IF(B250=0,0,VLOOKUP(C250,Tabela!$A$3:$D$653,4,FALSE))</f>
        <v>0</v>
      </c>
      <c r="G250" s="75">
        <f>IF(B250=0,0,VLOOKUP(C250,Tabela!$A$3:$D$653,3,FALSE))*IF($G$7="A VISTA",(100-$G$8)/100,1)</f>
        <v>0</v>
      </c>
      <c r="H250" s="76">
        <f t="shared" si="7"/>
        <v>0</v>
      </c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spans="2:26" x14ac:dyDescent="0.2">
      <c r="B251" s="95"/>
      <c r="C251" s="96"/>
      <c r="D251" s="72" t="str">
        <f>IF(B251=0," ",VLOOKUP(C251,Tabela!$A$3:$D$653,2,FALSE))</f>
        <v xml:space="preserve"> </v>
      </c>
      <c r="E251" s="73"/>
      <c r="F251" s="74">
        <f>IF(B251=0,0,VLOOKUP(C251,Tabela!$A$3:$D$653,4,FALSE))</f>
        <v>0</v>
      </c>
      <c r="G251" s="75">
        <f>IF(B251=0,0,VLOOKUP(C251,Tabela!$A$3:$D$653,3,FALSE))*IF($G$7="A VISTA",(100-$G$8)/100,1)</f>
        <v>0</v>
      </c>
      <c r="H251" s="76">
        <f t="shared" si="7"/>
        <v>0</v>
      </c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spans="2:26" x14ac:dyDescent="0.2">
      <c r="B252" s="95"/>
      <c r="C252" s="96"/>
      <c r="D252" s="72" t="str">
        <f>IF(B252=0," ",VLOOKUP(C252,Tabela!$A$3:$D$653,2,FALSE))</f>
        <v xml:space="preserve"> </v>
      </c>
      <c r="E252" s="73"/>
      <c r="F252" s="74">
        <f>IF(B252=0,0,VLOOKUP(C252,Tabela!$A$3:$D$653,4,FALSE))</f>
        <v>0</v>
      </c>
      <c r="G252" s="75">
        <f>IF(B252=0,0,VLOOKUP(C252,Tabela!$A$3:$D$653,3,FALSE))*IF($G$7="A VISTA",(100-$G$8)/100,1)</f>
        <v>0</v>
      </c>
      <c r="H252" s="76">
        <f t="shared" si="7"/>
        <v>0</v>
      </c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spans="2:26" x14ac:dyDescent="0.2">
      <c r="B253" s="95"/>
      <c r="C253" s="96"/>
      <c r="D253" s="72" t="str">
        <f>IF(B253=0," ",VLOOKUP(C253,Tabela!$A$3:$D$653,2,FALSE))</f>
        <v xml:space="preserve"> </v>
      </c>
      <c r="E253" s="73"/>
      <c r="F253" s="74">
        <f>IF(B253=0,0,VLOOKUP(C253,Tabela!$A$3:$D$653,4,FALSE))</f>
        <v>0</v>
      </c>
      <c r="G253" s="75">
        <f>IF(B253=0,0,VLOOKUP(C253,Tabela!$A$3:$D$653,3,FALSE))*IF($G$7="A VISTA",(100-$G$8)/100,1)</f>
        <v>0</v>
      </c>
      <c r="H253" s="76">
        <f t="shared" si="7"/>
        <v>0</v>
      </c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spans="2:26" x14ac:dyDescent="0.2">
      <c r="B254" s="95"/>
      <c r="C254" s="96"/>
      <c r="D254" s="72" t="str">
        <f>IF(B254=0," ",VLOOKUP(C254,Tabela!$A$3:$D$653,2,FALSE))</f>
        <v xml:space="preserve"> </v>
      </c>
      <c r="E254" s="73"/>
      <c r="F254" s="74">
        <f>IF(B254=0,0,VLOOKUP(C254,Tabela!$A$3:$D$653,4,FALSE))</f>
        <v>0</v>
      </c>
      <c r="G254" s="75">
        <f>IF(B254=0,0,VLOOKUP(C254,Tabela!$A$3:$D$653,3,FALSE))*IF($G$7="A VISTA",(100-$G$8)/100,1)</f>
        <v>0</v>
      </c>
      <c r="H254" s="76">
        <f t="shared" si="7"/>
        <v>0</v>
      </c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spans="2:26" x14ac:dyDescent="0.2">
      <c r="B255" s="95"/>
      <c r="C255" s="96"/>
      <c r="D255" s="72" t="str">
        <f>IF(B255=0," ",VLOOKUP(C255,Tabela!$A$3:$D$653,2,FALSE))</f>
        <v xml:space="preserve"> </v>
      </c>
      <c r="E255" s="73"/>
      <c r="F255" s="74">
        <f>IF(B255=0,0,VLOOKUP(C255,Tabela!$A$3:$D$653,4,FALSE))</f>
        <v>0</v>
      </c>
      <c r="G255" s="75">
        <f>IF(B255=0,0,VLOOKUP(C255,Tabela!$A$3:$D$653,3,FALSE))*IF($G$7="A VISTA",(100-$G$8)/100,1)</f>
        <v>0</v>
      </c>
      <c r="H255" s="76">
        <f t="shared" si="7"/>
        <v>0</v>
      </c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spans="2:26" x14ac:dyDescent="0.2">
      <c r="B256" s="95"/>
      <c r="C256" s="96"/>
      <c r="D256" s="72" t="str">
        <f>IF(B256=0," ",VLOOKUP(C256,Tabela!$A$3:$D$653,2,FALSE))</f>
        <v xml:space="preserve"> </v>
      </c>
      <c r="E256" s="73"/>
      <c r="F256" s="74">
        <f>IF(B256=0,0,VLOOKUP(C256,Tabela!$A$3:$D$653,4,FALSE))</f>
        <v>0</v>
      </c>
      <c r="G256" s="75">
        <f>IF(B256=0,0,VLOOKUP(C256,Tabela!$A$3:$D$653,3,FALSE))*IF($G$7="A VISTA",(100-$G$8)/100,1)</f>
        <v>0</v>
      </c>
      <c r="H256" s="76">
        <f t="shared" si="7"/>
        <v>0</v>
      </c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spans="1:26" x14ac:dyDescent="0.2">
      <c r="B257" s="95"/>
      <c r="C257" s="96"/>
      <c r="D257" s="72" t="str">
        <f>IF(B257=0," ",VLOOKUP(C257,Tabela!$A$3:$D$653,2,FALSE))</f>
        <v xml:space="preserve"> </v>
      </c>
      <c r="E257" s="73"/>
      <c r="F257" s="74">
        <f>IF(B257=0,0,VLOOKUP(C257,Tabela!$A$3:$D$653,4,FALSE))</f>
        <v>0</v>
      </c>
      <c r="G257" s="75">
        <f>IF(B257=0,0,VLOOKUP(C257,Tabela!$A$3:$D$653,3,FALSE))*IF($G$7="A VISTA",(100-$G$8)/100,1)</f>
        <v>0</v>
      </c>
      <c r="H257" s="76">
        <f t="shared" si="7"/>
        <v>0</v>
      </c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spans="1:26" x14ac:dyDescent="0.2">
      <c r="B258" s="95"/>
      <c r="C258" s="96"/>
      <c r="D258" s="72" t="str">
        <f>IF(B258=0," ",VLOOKUP(C258,Tabela!$A$3:$D$653,2,FALSE))</f>
        <v xml:space="preserve"> </v>
      </c>
      <c r="E258" s="73"/>
      <c r="F258" s="74">
        <f>IF(B258=0,0,VLOOKUP(C258,Tabela!$A$3:$D$653,4,FALSE))</f>
        <v>0</v>
      </c>
      <c r="G258" s="75">
        <f>IF(B258=0,0,VLOOKUP(C258,Tabela!$A$3:$D$653,3,FALSE))*IF($G$7="A VISTA",(100-$G$8)/100,1)</f>
        <v>0</v>
      </c>
      <c r="H258" s="76">
        <f t="shared" si="7"/>
        <v>0</v>
      </c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spans="1:26" x14ac:dyDescent="0.2">
      <c r="B259" s="95"/>
      <c r="C259" s="96"/>
      <c r="D259" s="72" t="str">
        <f>IF(B259=0," ",VLOOKUP(C259,Tabela!$A$3:$D$653,2,FALSE))</f>
        <v xml:space="preserve"> </v>
      </c>
      <c r="E259" s="73"/>
      <c r="F259" s="74">
        <f>IF(B259=0,0,VLOOKUP(C259,Tabela!$A$3:$D$653,4,FALSE))</f>
        <v>0</v>
      </c>
      <c r="G259" s="75">
        <f>IF(B259=0,0,VLOOKUP(C259,Tabela!$A$3:$D$653,3,FALSE))*IF($G$7="A VISTA",(100-$G$8)/100,1)</f>
        <v>0</v>
      </c>
      <c r="H259" s="76">
        <f t="shared" si="7"/>
        <v>0</v>
      </c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spans="1:26" x14ac:dyDescent="0.2">
      <c r="B260" s="95"/>
      <c r="C260" s="96"/>
      <c r="D260" s="72" t="str">
        <f>IF(B260=0," ",VLOOKUP(C260,Tabela!$A$3:$D$653,2,FALSE))</f>
        <v xml:space="preserve"> </v>
      </c>
      <c r="E260" s="73"/>
      <c r="F260" s="74">
        <f>IF(B260=0,0,VLOOKUP(C260,Tabela!$A$3:$D$653,4,FALSE))</f>
        <v>0</v>
      </c>
      <c r="G260" s="75">
        <f>IF(B260=0,0,VLOOKUP(C260,Tabela!$A$3:$D$653,3,FALSE))*IF($G$7="A VISTA",(100-$G$8)/100,1)</f>
        <v>0</v>
      </c>
      <c r="H260" s="76">
        <f t="shared" si="7"/>
        <v>0</v>
      </c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spans="1:26" x14ac:dyDescent="0.2">
      <c r="B261" s="95"/>
      <c r="C261" s="96"/>
      <c r="D261" s="72" t="str">
        <f>IF(B261=0," ",VLOOKUP(C261,Tabela!$A$3:$D$653,2,FALSE))</f>
        <v xml:space="preserve"> </v>
      </c>
      <c r="E261" s="73"/>
      <c r="F261" s="74">
        <f>IF(B261=0,0,VLOOKUP(C261,Tabela!$A$3:$D$653,4,FALSE))</f>
        <v>0</v>
      </c>
      <c r="G261" s="75">
        <f>IF(B261=0,0,VLOOKUP(C261,Tabela!$A$3:$D$653,3,FALSE))*IF($G$7="A VISTA",(100-$G$8)/100,1)</f>
        <v>0</v>
      </c>
      <c r="H261" s="76">
        <f t="shared" si="7"/>
        <v>0</v>
      </c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spans="1:26" x14ac:dyDescent="0.2">
      <c r="A262" s="54"/>
      <c r="B262" s="95"/>
      <c r="C262" s="96"/>
      <c r="D262" s="72" t="str">
        <f>IF(B262=0," ",VLOOKUP(C262,Tabela!$A$3:$D$653,2,FALSE))</f>
        <v xml:space="preserve"> </v>
      </c>
      <c r="E262" s="73"/>
      <c r="F262" s="74">
        <f>IF(B262=0,0,VLOOKUP(C262,Tabela!$A$3:$D$653,4,FALSE))</f>
        <v>0</v>
      </c>
      <c r="G262" s="75">
        <f>IF(B262=0,0,VLOOKUP(C262,Tabela!$A$3:$D$653,3,FALSE))*IF($G$7="A VISTA",(100-$G$8)/100,1)</f>
        <v>0</v>
      </c>
      <c r="H262" s="76">
        <f t="shared" si="7"/>
        <v>0</v>
      </c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spans="1:26" x14ac:dyDescent="0.2">
      <c r="A263" s="54"/>
      <c r="B263" s="95"/>
      <c r="C263" s="96"/>
      <c r="D263" s="72" t="str">
        <f>IF(B263=0," ",VLOOKUP(C263,Tabela!$A$3:$D$653,2,FALSE))</f>
        <v xml:space="preserve"> </v>
      </c>
      <c r="E263" s="73"/>
      <c r="F263" s="74">
        <f>IF(B263=0,0,VLOOKUP(C263,Tabela!$A$3:$D$653,4,FALSE))</f>
        <v>0</v>
      </c>
      <c r="G263" s="75">
        <f>IF(B263=0,0,VLOOKUP(C263,Tabela!$A$3:$D$653,3,FALSE))*IF($G$7="A VISTA",(100-$G$8)/100,1)</f>
        <v>0</v>
      </c>
      <c r="H263" s="76">
        <f t="shared" si="7"/>
        <v>0</v>
      </c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spans="1:26" x14ac:dyDescent="0.2">
      <c r="A264" s="54"/>
      <c r="B264" s="95"/>
      <c r="C264" s="96"/>
      <c r="D264" s="72" t="str">
        <f>IF(B264=0," ",VLOOKUP(C264,Tabela!$A$3:$D$653,2,FALSE))</f>
        <v xml:space="preserve"> </v>
      </c>
      <c r="E264" s="73"/>
      <c r="F264" s="74">
        <f>IF(B264=0,0,VLOOKUP(C264,Tabela!$A$3:$D$653,4,FALSE))</f>
        <v>0</v>
      </c>
      <c r="G264" s="75">
        <f>IF(B264=0,0,VLOOKUP(C264,Tabela!$A$3:$D$653,3,FALSE))*IF($G$7="A VISTA",(100-$G$8)/100,1)</f>
        <v>0</v>
      </c>
      <c r="H264" s="76">
        <f t="shared" si="7"/>
        <v>0</v>
      </c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spans="1:26" x14ac:dyDescent="0.2">
      <c r="A265" s="54"/>
      <c r="B265" s="95"/>
      <c r="C265" s="96"/>
      <c r="D265" s="72" t="str">
        <f>IF(B265=0," ",VLOOKUP(C265,Tabela!$A$3:$D$653,2,FALSE))</f>
        <v xml:space="preserve"> </v>
      </c>
      <c r="E265" s="73"/>
      <c r="F265" s="74">
        <f>IF(B265=0,0,VLOOKUP(C265,Tabela!$A$3:$D$653,4,FALSE))</f>
        <v>0</v>
      </c>
      <c r="G265" s="75">
        <f>IF(B265=0,0,VLOOKUP(C265,Tabela!$A$3:$D$653,3,FALSE))*IF($G$7="A VISTA",(100-$G$8)/100,1)</f>
        <v>0</v>
      </c>
      <c r="H265" s="76">
        <f t="shared" si="7"/>
        <v>0</v>
      </c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spans="1:26" x14ac:dyDescent="0.2">
      <c r="A266" s="54"/>
      <c r="B266" s="95"/>
      <c r="C266" s="96"/>
      <c r="D266" s="72" t="str">
        <f>IF(B266=0," ",VLOOKUP(C266,Tabela!$A$3:$D$653,2,FALSE))</f>
        <v xml:space="preserve"> </v>
      </c>
      <c r="E266" s="73"/>
      <c r="F266" s="74">
        <f>IF(B266=0,0,VLOOKUP(C266,Tabela!$A$3:$D$653,4,FALSE))</f>
        <v>0</v>
      </c>
      <c r="G266" s="75">
        <f>IF(B266=0,0,VLOOKUP(C266,Tabela!$A$3:$D$653,3,FALSE))*IF($G$7="A VISTA",(100-$G$8)/100,1)</f>
        <v>0</v>
      </c>
      <c r="H266" s="76">
        <f t="shared" si="7"/>
        <v>0</v>
      </c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spans="1:26" x14ac:dyDescent="0.2">
      <c r="A267" s="54"/>
      <c r="B267" s="95"/>
      <c r="C267" s="96"/>
      <c r="D267" s="72" t="str">
        <f>IF(B267=0," ",VLOOKUP(C267,Tabela!$A$3:$D$653,2,FALSE))</f>
        <v xml:space="preserve"> </v>
      </c>
      <c r="E267" s="73"/>
      <c r="F267" s="74">
        <f>IF(B267=0,0,VLOOKUP(C267,Tabela!$A$3:$D$653,4,FALSE))</f>
        <v>0</v>
      </c>
      <c r="G267" s="75">
        <f>IF(B267=0,0,VLOOKUP(C267,Tabela!$A$3:$D$653,3,FALSE))*IF($G$7="A VISTA",(100-$G$8)/100,1)</f>
        <v>0</v>
      </c>
      <c r="H267" s="76">
        <f t="shared" si="7"/>
        <v>0</v>
      </c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spans="1:26" x14ac:dyDescent="0.2">
      <c r="A268" s="54"/>
      <c r="B268" s="95"/>
      <c r="C268" s="96"/>
      <c r="D268" s="72" t="str">
        <f>IF(B268=0," ",VLOOKUP(C268,Tabela!$A$3:$D$653,2,FALSE))</f>
        <v xml:space="preserve"> </v>
      </c>
      <c r="E268" s="73"/>
      <c r="F268" s="74">
        <f>IF(B268=0,0,VLOOKUP(C268,Tabela!$A$3:$D$653,4,FALSE))</f>
        <v>0</v>
      </c>
      <c r="G268" s="75">
        <f>IF(B268=0,0,VLOOKUP(C268,Tabela!$A$3:$D$653,3,FALSE))*IF($G$7="A VISTA",(100-$G$8)/100,1)</f>
        <v>0</v>
      </c>
      <c r="H268" s="76">
        <f t="shared" ref="H268:H331" si="8">B268*G268</f>
        <v>0</v>
      </c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spans="1:26" x14ac:dyDescent="0.2">
      <c r="A269" s="54"/>
      <c r="B269" s="95"/>
      <c r="C269" s="96"/>
      <c r="D269" s="72" t="str">
        <f>IF(B269=0," ",VLOOKUP(C269,Tabela!$A$3:$D$653,2,FALSE))</f>
        <v xml:space="preserve"> </v>
      </c>
      <c r="E269" s="73"/>
      <c r="F269" s="74">
        <f>IF(B269=0,0,VLOOKUP(C269,Tabela!$A$3:$D$653,4,FALSE))</f>
        <v>0</v>
      </c>
      <c r="G269" s="75">
        <f>IF(B269=0,0,VLOOKUP(C269,Tabela!$A$3:$D$653,3,FALSE))*IF($G$7="A VISTA",(100-$G$8)/100,1)</f>
        <v>0</v>
      </c>
      <c r="H269" s="76">
        <f t="shared" si="8"/>
        <v>0</v>
      </c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spans="1:26" x14ac:dyDescent="0.2">
      <c r="A270" s="54"/>
      <c r="B270" s="95"/>
      <c r="C270" s="96"/>
      <c r="D270" s="72" t="str">
        <f>IF(B270=0," ",VLOOKUP(C270,Tabela!$A$3:$D$653,2,FALSE))</f>
        <v xml:space="preserve"> </v>
      </c>
      <c r="E270" s="73"/>
      <c r="F270" s="74">
        <f>IF(B270=0,0,VLOOKUP(C270,Tabela!$A$3:$D$653,4,FALSE))</f>
        <v>0</v>
      </c>
      <c r="G270" s="75">
        <f>IF(B270=0,0,VLOOKUP(C270,Tabela!$A$3:$D$653,3,FALSE))*IF($G$7="A VISTA",(100-$G$8)/100,1)</f>
        <v>0</v>
      </c>
      <c r="H270" s="76">
        <f t="shared" si="8"/>
        <v>0</v>
      </c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spans="1:26" x14ac:dyDescent="0.2">
      <c r="B271" s="95"/>
      <c r="C271" s="96"/>
      <c r="D271" s="72" t="str">
        <f>IF(B271=0," ",VLOOKUP(C271,Tabela!$A$3:$D$653,2,FALSE))</f>
        <v xml:space="preserve"> </v>
      </c>
      <c r="E271" s="73"/>
      <c r="F271" s="74">
        <f>IF(B271=0,0,VLOOKUP(C271,Tabela!$A$3:$D$653,4,FALSE))</f>
        <v>0</v>
      </c>
      <c r="G271" s="75">
        <f>IF(B271=0,0,VLOOKUP(C271,Tabela!$A$3:$D$653,3,FALSE))*IF($G$7="A VISTA",(100-$G$8)/100,1)</f>
        <v>0</v>
      </c>
      <c r="H271" s="76">
        <f t="shared" si="8"/>
        <v>0</v>
      </c>
    </row>
    <row r="272" spans="1:26" x14ac:dyDescent="0.2">
      <c r="B272" s="95"/>
      <c r="C272" s="96"/>
      <c r="D272" s="72" t="str">
        <f>IF(B272=0," ",VLOOKUP(C272,Tabela!$A$3:$D$653,2,FALSE))</f>
        <v xml:space="preserve"> </v>
      </c>
      <c r="E272" s="73"/>
      <c r="F272" s="74">
        <f>IF(B272=0,0,VLOOKUP(C272,Tabela!$A$3:$D$653,4,FALSE))</f>
        <v>0</v>
      </c>
      <c r="G272" s="75">
        <f>IF(B272=0,0,VLOOKUP(C272,Tabela!$A$3:$D$653,3,FALSE))*IF($G$7="A VISTA",(100-$G$8)/100,1)</f>
        <v>0</v>
      </c>
      <c r="H272" s="76">
        <f t="shared" si="8"/>
        <v>0</v>
      </c>
    </row>
    <row r="273" spans="2:8" x14ac:dyDescent="0.2">
      <c r="B273" s="95"/>
      <c r="C273" s="96"/>
      <c r="D273" s="72" t="str">
        <f>IF(B273=0," ",VLOOKUP(C273,Tabela!$A$3:$D$653,2,FALSE))</f>
        <v xml:space="preserve"> </v>
      </c>
      <c r="E273" s="73"/>
      <c r="F273" s="74">
        <f>IF(B273=0,0,VLOOKUP(C273,Tabela!$A$3:$D$653,4,FALSE))</f>
        <v>0</v>
      </c>
      <c r="G273" s="75">
        <f>IF(B273=0,0,VLOOKUP(C273,Tabela!$A$3:$D$653,3,FALSE))*IF($G$7="A VISTA",(100-$G$8)/100,1)</f>
        <v>0</v>
      </c>
      <c r="H273" s="76">
        <f t="shared" si="8"/>
        <v>0</v>
      </c>
    </row>
    <row r="274" spans="2:8" x14ac:dyDescent="0.2">
      <c r="B274" s="95"/>
      <c r="C274" s="96"/>
      <c r="D274" s="72" t="str">
        <f>IF(B274=0," ",VLOOKUP(C274,Tabela!$A$3:$D$653,2,FALSE))</f>
        <v xml:space="preserve"> </v>
      </c>
      <c r="E274" s="73"/>
      <c r="F274" s="74">
        <f>IF(B274=0,0,VLOOKUP(C274,Tabela!$A$3:$D$653,4,FALSE))</f>
        <v>0</v>
      </c>
      <c r="G274" s="75">
        <f>IF(B274=0,0,VLOOKUP(C274,Tabela!$A$3:$D$653,3,FALSE))*IF($G$7="A VISTA",(100-$G$8)/100,1)</f>
        <v>0</v>
      </c>
      <c r="H274" s="76">
        <f t="shared" si="8"/>
        <v>0</v>
      </c>
    </row>
    <row r="275" spans="2:8" x14ac:dyDescent="0.2">
      <c r="B275" s="95"/>
      <c r="C275" s="96"/>
      <c r="D275" s="72" t="str">
        <f>IF(B275=0," ",VLOOKUP(C275,Tabela!$A$3:$D$653,2,FALSE))</f>
        <v xml:space="preserve"> </v>
      </c>
      <c r="E275" s="73"/>
      <c r="F275" s="74">
        <f>IF(B275=0,0,VLOOKUP(C275,Tabela!$A$3:$D$653,4,FALSE))</f>
        <v>0</v>
      </c>
      <c r="G275" s="75">
        <f>IF(B275=0,0,VLOOKUP(C275,Tabela!$A$3:$D$653,3,FALSE))*IF($G$7="A VISTA",(100-$G$8)/100,1)</f>
        <v>0</v>
      </c>
      <c r="H275" s="76">
        <f t="shared" si="8"/>
        <v>0</v>
      </c>
    </row>
    <row r="276" spans="2:8" x14ac:dyDescent="0.2">
      <c r="B276" s="95"/>
      <c r="C276" s="96"/>
      <c r="D276" s="72" t="str">
        <f>IF(B276=0," ",VLOOKUP(C276,Tabela!$A$3:$D$653,2,FALSE))</f>
        <v xml:space="preserve"> </v>
      </c>
      <c r="E276" s="73"/>
      <c r="F276" s="74">
        <f>IF(B276=0,0,VLOOKUP(C276,Tabela!$A$3:$D$653,4,FALSE))</f>
        <v>0</v>
      </c>
      <c r="G276" s="75">
        <f>IF(B276=0,0,VLOOKUP(C276,Tabela!$A$3:$D$653,3,FALSE))*IF($G$7="A VISTA",(100-$G$8)/100,1)</f>
        <v>0</v>
      </c>
      <c r="H276" s="76">
        <f t="shared" si="8"/>
        <v>0</v>
      </c>
    </row>
    <row r="277" spans="2:8" x14ac:dyDescent="0.2">
      <c r="B277" s="95"/>
      <c r="C277" s="96"/>
      <c r="D277" s="72" t="str">
        <f>IF(B277=0," ",VLOOKUP(C277,Tabela!$A$3:$D$653,2,FALSE))</f>
        <v xml:space="preserve"> </v>
      </c>
      <c r="E277" s="73"/>
      <c r="F277" s="74">
        <f>IF(B277=0,0,VLOOKUP(C277,Tabela!$A$3:$D$653,4,FALSE))</f>
        <v>0</v>
      </c>
      <c r="G277" s="75">
        <f>IF(B277=0,0,VLOOKUP(C277,Tabela!$A$3:$D$653,3,FALSE))*IF($G$7="A VISTA",(100-$G$8)/100,1)</f>
        <v>0</v>
      </c>
      <c r="H277" s="76">
        <f t="shared" si="8"/>
        <v>0</v>
      </c>
    </row>
    <row r="278" spans="2:8" x14ac:dyDescent="0.2">
      <c r="B278" s="95"/>
      <c r="C278" s="96"/>
      <c r="D278" s="72" t="str">
        <f>IF(B278=0," ",VLOOKUP(C278,Tabela!$A$3:$D$653,2,FALSE))</f>
        <v xml:space="preserve"> </v>
      </c>
      <c r="E278" s="73"/>
      <c r="F278" s="74">
        <f>IF(B278=0,0,VLOOKUP(C278,Tabela!$A$3:$D$653,4,FALSE))</f>
        <v>0</v>
      </c>
      <c r="G278" s="75">
        <f>IF(B278=0,0,VLOOKUP(C278,Tabela!$A$3:$D$653,3,FALSE))*IF($G$7="A VISTA",(100-$G$8)/100,1)</f>
        <v>0</v>
      </c>
      <c r="H278" s="76">
        <f t="shared" si="8"/>
        <v>0</v>
      </c>
    </row>
    <row r="279" spans="2:8" x14ac:dyDescent="0.2">
      <c r="B279" s="95"/>
      <c r="C279" s="96"/>
      <c r="D279" s="72" t="str">
        <f>IF(B279=0," ",VLOOKUP(C279,Tabela!$A$3:$D$653,2,FALSE))</f>
        <v xml:space="preserve"> </v>
      </c>
      <c r="E279" s="73"/>
      <c r="F279" s="74">
        <f>IF(B279=0,0,VLOOKUP(C279,Tabela!$A$3:$D$653,4,FALSE))</f>
        <v>0</v>
      </c>
      <c r="G279" s="75">
        <f>IF(B279=0,0,VLOOKUP(C279,Tabela!$A$3:$D$653,3,FALSE))*IF($G$7="A VISTA",(100-$G$8)/100,1)</f>
        <v>0</v>
      </c>
      <c r="H279" s="76">
        <f t="shared" si="8"/>
        <v>0</v>
      </c>
    </row>
    <row r="280" spans="2:8" x14ac:dyDescent="0.2">
      <c r="B280" s="95"/>
      <c r="C280" s="96"/>
      <c r="D280" s="72" t="str">
        <f>IF(B280=0," ",VLOOKUP(C280,Tabela!$A$3:$D$653,2,FALSE))</f>
        <v xml:space="preserve"> </v>
      </c>
      <c r="E280" s="73"/>
      <c r="F280" s="74">
        <f>IF(B280=0,0,VLOOKUP(C280,Tabela!$A$3:$D$653,4,FALSE))</f>
        <v>0</v>
      </c>
      <c r="G280" s="75">
        <f>IF(B280=0,0,VLOOKUP(C280,Tabela!$A$3:$D$653,3,FALSE))*IF($G$7="A VISTA",(100-$G$8)/100,1)</f>
        <v>0</v>
      </c>
      <c r="H280" s="76">
        <f t="shared" si="8"/>
        <v>0</v>
      </c>
    </row>
    <row r="281" spans="2:8" x14ac:dyDescent="0.2">
      <c r="B281" s="95"/>
      <c r="C281" s="96"/>
      <c r="D281" s="72" t="str">
        <f>IF(B281=0," ",VLOOKUP(C281,Tabela!$A$3:$D$653,2,FALSE))</f>
        <v xml:space="preserve"> </v>
      </c>
      <c r="E281" s="73"/>
      <c r="F281" s="74">
        <f>IF(B281=0,0,VLOOKUP(C281,Tabela!$A$3:$D$653,4,FALSE))</f>
        <v>0</v>
      </c>
      <c r="G281" s="75">
        <f>IF(B281=0,0,VLOOKUP(C281,Tabela!$A$3:$D$653,3,FALSE))*IF($G$7="A VISTA",(100-$G$8)/100,1)</f>
        <v>0</v>
      </c>
      <c r="H281" s="76">
        <f t="shared" si="8"/>
        <v>0</v>
      </c>
    </row>
    <row r="282" spans="2:8" x14ac:dyDescent="0.2">
      <c r="B282" s="95"/>
      <c r="C282" s="96"/>
      <c r="D282" s="72" t="str">
        <f>IF(B282=0," ",VLOOKUP(C282,Tabela!$A$3:$D$653,2,FALSE))</f>
        <v xml:space="preserve"> </v>
      </c>
      <c r="E282" s="73"/>
      <c r="F282" s="74">
        <f>IF(B282=0,0,VLOOKUP(C282,Tabela!$A$3:$D$653,4,FALSE))</f>
        <v>0</v>
      </c>
      <c r="G282" s="75">
        <f>IF(B282=0,0,VLOOKUP(C282,Tabela!$A$3:$D$653,3,FALSE))*IF($G$7="A VISTA",(100-$G$8)/100,1)</f>
        <v>0</v>
      </c>
      <c r="H282" s="76">
        <f t="shared" si="8"/>
        <v>0</v>
      </c>
    </row>
    <row r="283" spans="2:8" x14ac:dyDescent="0.2">
      <c r="B283" s="95"/>
      <c r="C283" s="96"/>
      <c r="D283" s="72" t="str">
        <f>IF(B283=0," ",VLOOKUP(C283,Tabela!$A$3:$D$653,2,FALSE))</f>
        <v xml:space="preserve"> </v>
      </c>
      <c r="E283" s="73"/>
      <c r="F283" s="74">
        <f>IF(B283=0,0,VLOOKUP(C283,Tabela!$A$3:$D$653,4,FALSE))</f>
        <v>0</v>
      </c>
      <c r="G283" s="75">
        <f>IF(B283=0,0,VLOOKUP(C283,Tabela!$A$3:$D$653,3,FALSE))*IF($G$7="A VISTA",(100-$G$8)/100,1)</f>
        <v>0</v>
      </c>
      <c r="H283" s="76">
        <f t="shared" si="8"/>
        <v>0</v>
      </c>
    </row>
    <row r="284" spans="2:8" x14ac:dyDescent="0.2">
      <c r="B284" s="95"/>
      <c r="C284" s="96"/>
      <c r="D284" s="72" t="str">
        <f>IF(B284=0," ",VLOOKUP(C284,Tabela!$A$3:$D$653,2,FALSE))</f>
        <v xml:space="preserve"> </v>
      </c>
      <c r="E284" s="73"/>
      <c r="F284" s="74">
        <f>IF(B284=0,0,VLOOKUP(C284,Tabela!$A$3:$D$653,4,FALSE))</f>
        <v>0</v>
      </c>
      <c r="G284" s="75">
        <f>IF(B284=0,0,VLOOKUP(C284,Tabela!$A$3:$D$653,3,FALSE))*IF($G$7="A VISTA",(100-$G$8)/100,1)</f>
        <v>0</v>
      </c>
      <c r="H284" s="76">
        <f t="shared" si="8"/>
        <v>0</v>
      </c>
    </row>
    <row r="285" spans="2:8" x14ac:dyDescent="0.2">
      <c r="B285" s="95"/>
      <c r="C285" s="96"/>
      <c r="D285" s="72" t="str">
        <f>IF(B285=0," ",VLOOKUP(C285,Tabela!$A$3:$D$653,2,FALSE))</f>
        <v xml:space="preserve"> </v>
      </c>
      <c r="E285" s="73"/>
      <c r="F285" s="74">
        <f>IF(B285=0,0,VLOOKUP(C285,Tabela!$A$3:$D$653,4,FALSE))</f>
        <v>0</v>
      </c>
      <c r="G285" s="75">
        <f>IF(B285=0,0,VLOOKUP(C285,Tabela!$A$3:$D$653,3,FALSE))*IF($G$7="A VISTA",(100-$G$8)/100,1)</f>
        <v>0</v>
      </c>
      <c r="H285" s="76">
        <f t="shared" si="8"/>
        <v>0</v>
      </c>
    </row>
    <row r="286" spans="2:8" x14ac:dyDescent="0.2">
      <c r="B286" s="95"/>
      <c r="C286" s="96"/>
      <c r="D286" s="72" t="str">
        <f>IF(B286=0," ",VLOOKUP(C286,Tabela!$A$3:$D$653,2,FALSE))</f>
        <v xml:space="preserve"> </v>
      </c>
      <c r="E286" s="73"/>
      <c r="F286" s="74">
        <f>IF(B286=0,0,VLOOKUP(C286,Tabela!$A$3:$D$653,4,FALSE))</f>
        <v>0</v>
      </c>
      <c r="G286" s="75">
        <f>IF(B286=0,0,VLOOKUP(C286,Tabela!$A$3:$D$653,3,FALSE))*IF($G$7="A VISTA",(100-$G$8)/100,1)</f>
        <v>0</v>
      </c>
      <c r="H286" s="76">
        <f t="shared" si="8"/>
        <v>0</v>
      </c>
    </row>
    <row r="287" spans="2:8" x14ac:dyDescent="0.2">
      <c r="B287" s="95"/>
      <c r="C287" s="96"/>
      <c r="D287" s="72" t="str">
        <f>IF(B287=0," ",VLOOKUP(C287,Tabela!$A$3:$D$653,2,FALSE))</f>
        <v xml:space="preserve"> </v>
      </c>
      <c r="E287" s="73"/>
      <c r="F287" s="74">
        <f>IF(B287=0,0,VLOOKUP(C287,Tabela!$A$3:$D$653,4,FALSE))</f>
        <v>0</v>
      </c>
      <c r="G287" s="75">
        <f>IF(B287=0,0,VLOOKUP(C287,Tabela!$A$3:$D$653,3,FALSE))*IF($G$7="A VISTA",(100-$G$8)/100,1)</f>
        <v>0</v>
      </c>
      <c r="H287" s="76">
        <f t="shared" si="8"/>
        <v>0</v>
      </c>
    </row>
    <row r="288" spans="2:8" x14ac:dyDescent="0.2">
      <c r="B288" s="95"/>
      <c r="C288" s="96"/>
      <c r="D288" s="72" t="str">
        <f>IF(B288=0," ",VLOOKUP(C288,Tabela!$A$3:$D$653,2,FALSE))</f>
        <v xml:space="preserve"> </v>
      </c>
      <c r="E288" s="73"/>
      <c r="F288" s="74">
        <f>IF(B288=0,0,VLOOKUP(C288,Tabela!$A$3:$D$653,4,FALSE))</f>
        <v>0</v>
      </c>
      <c r="G288" s="75">
        <f>IF(B288=0,0,VLOOKUP(C288,Tabela!$A$3:$D$653,3,FALSE))*IF($G$7="A VISTA",(100-$G$8)/100,1)</f>
        <v>0</v>
      </c>
      <c r="H288" s="76">
        <f t="shared" si="8"/>
        <v>0</v>
      </c>
    </row>
    <row r="289" spans="2:8" x14ac:dyDescent="0.2">
      <c r="B289" s="95"/>
      <c r="C289" s="96"/>
      <c r="D289" s="72" t="str">
        <f>IF(B289=0," ",VLOOKUP(C289,Tabela!$A$3:$D$653,2,FALSE))</f>
        <v xml:space="preserve"> </v>
      </c>
      <c r="E289" s="73"/>
      <c r="F289" s="74">
        <f>IF(B289=0,0,VLOOKUP(C289,Tabela!$A$3:$D$653,4,FALSE))</f>
        <v>0</v>
      </c>
      <c r="G289" s="75">
        <f>IF(B289=0,0,VLOOKUP(C289,Tabela!$A$3:$D$653,3,FALSE))*IF($G$7="A VISTA",(100-$G$8)/100,1)</f>
        <v>0</v>
      </c>
      <c r="H289" s="76">
        <f t="shared" si="8"/>
        <v>0</v>
      </c>
    </row>
    <row r="290" spans="2:8" x14ac:dyDescent="0.2">
      <c r="B290" s="95"/>
      <c r="C290" s="96"/>
      <c r="D290" s="72" t="str">
        <f>IF(B290=0," ",VLOOKUP(C290,Tabela!$A$3:$D$653,2,FALSE))</f>
        <v xml:space="preserve"> </v>
      </c>
      <c r="E290" s="73"/>
      <c r="F290" s="74">
        <f>IF(B290=0,0,VLOOKUP(C290,Tabela!$A$3:$D$653,4,FALSE))</f>
        <v>0</v>
      </c>
      <c r="G290" s="75">
        <f>IF(B290=0,0,VLOOKUP(C290,Tabela!$A$3:$D$653,3,FALSE))*IF($G$7="A VISTA",(100-$G$8)/100,1)</f>
        <v>0</v>
      </c>
      <c r="H290" s="76">
        <f t="shared" si="8"/>
        <v>0</v>
      </c>
    </row>
    <row r="291" spans="2:8" x14ac:dyDescent="0.2">
      <c r="B291" s="95"/>
      <c r="C291" s="96"/>
      <c r="D291" s="72" t="str">
        <f>IF(B291=0," ",VLOOKUP(C291,Tabela!$A$3:$D$653,2,FALSE))</f>
        <v xml:space="preserve"> </v>
      </c>
      <c r="E291" s="73"/>
      <c r="F291" s="74">
        <f>IF(B291=0,0,VLOOKUP(C291,Tabela!$A$3:$D$653,4,FALSE))</f>
        <v>0</v>
      </c>
      <c r="G291" s="75">
        <f>IF(B291=0,0,VLOOKUP(C291,Tabela!$A$3:$D$653,3,FALSE))*IF($G$7="A VISTA",(100-$G$8)/100,1)</f>
        <v>0</v>
      </c>
      <c r="H291" s="76">
        <f t="shared" si="8"/>
        <v>0</v>
      </c>
    </row>
    <row r="292" spans="2:8" x14ac:dyDescent="0.2">
      <c r="B292" s="95"/>
      <c r="C292" s="96"/>
      <c r="D292" s="72" t="str">
        <f>IF(B292=0," ",VLOOKUP(C292,Tabela!$A$3:$D$653,2,FALSE))</f>
        <v xml:space="preserve"> </v>
      </c>
      <c r="E292" s="73"/>
      <c r="F292" s="74">
        <f>IF(B292=0,0,VLOOKUP(C292,Tabela!$A$3:$D$653,4,FALSE))</f>
        <v>0</v>
      </c>
      <c r="G292" s="75">
        <f>IF(B292=0,0,VLOOKUP(C292,Tabela!$A$3:$D$653,3,FALSE))*IF($G$7="A VISTA",(100-$G$8)/100,1)</f>
        <v>0</v>
      </c>
      <c r="H292" s="76">
        <f t="shared" si="8"/>
        <v>0</v>
      </c>
    </row>
    <row r="293" spans="2:8" x14ac:dyDescent="0.2">
      <c r="B293" s="95"/>
      <c r="C293" s="96"/>
      <c r="D293" s="72" t="str">
        <f>IF(B293=0," ",VLOOKUP(C293,Tabela!$A$3:$D$653,2,FALSE))</f>
        <v xml:space="preserve"> </v>
      </c>
      <c r="E293" s="73"/>
      <c r="F293" s="74">
        <f>IF(B293=0,0,VLOOKUP(C293,Tabela!$A$3:$D$653,4,FALSE))</f>
        <v>0</v>
      </c>
      <c r="G293" s="75">
        <f>IF(B293=0,0,VLOOKUP(C293,Tabela!$A$3:$D$653,3,FALSE))*IF($G$7="A VISTA",(100-$G$8)/100,1)</f>
        <v>0</v>
      </c>
      <c r="H293" s="76">
        <f t="shared" si="8"/>
        <v>0</v>
      </c>
    </row>
    <row r="294" spans="2:8" x14ac:dyDescent="0.2">
      <c r="B294" s="95"/>
      <c r="C294" s="96"/>
      <c r="D294" s="72" t="str">
        <f>IF(B294=0," ",VLOOKUP(C294,Tabela!$A$3:$D$653,2,FALSE))</f>
        <v xml:space="preserve"> </v>
      </c>
      <c r="E294" s="73"/>
      <c r="F294" s="74">
        <f>IF(B294=0,0,VLOOKUP(C294,Tabela!$A$3:$D$653,4,FALSE))</f>
        <v>0</v>
      </c>
      <c r="G294" s="75">
        <f>IF(B294=0,0,VLOOKUP(C294,Tabela!$A$3:$D$653,3,FALSE))*IF($G$7="A VISTA",(100-$G$8)/100,1)</f>
        <v>0</v>
      </c>
      <c r="H294" s="76">
        <f t="shared" si="8"/>
        <v>0</v>
      </c>
    </row>
    <row r="295" spans="2:8" x14ac:dyDescent="0.2">
      <c r="B295" s="95"/>
      <c r="C295" s="96"/>
      <c r="D295" s="72" t="str">
        <f>IF(B295=0," ",VLOOKUP(C295,Tabela!$A$3:$D$653,2,FALSE))</f>
        <v xml:space="preserve"> </v>
      </c>
      <c r="E295" s="73"/>
      <c r="F295" s="74">
        <f>IF(B295=0,0,VLOOKUP(C295,Tabela!$A$3:$D$653,4,FALSE))</f>
        <v>0</v>
      </c>
      <c r="G295" s="75">
        <f>IF(B295=0,0,VLOOKUP(C295,Tabela!$A$3:$D$653,3,FALSE))*IF($G$7="A VISTA",(100-$G$8)/100,1)</f>
        <v>0</v>
      </c>
      <c r="H295" s="76">
        <f t="shared" si="8"/>
        <v>0</v>
      </c>
    </row>
    <row r="296" spans="2:8" x14ac:dyDescent="0.2">
      <c r="B296" s="95"/>
      <c r="C296" s="96"/>
      <c r="D296" s="72" t="str">
        <f>IF(B296=0," ",VLOOKUP(C296,Tabela!$A$3:$D$653,2,FALSE))</f>
        <v xml:space="preserve"> </v>
      </c>
      <c r="E296" s="73"/>
      <c r="F296" s="74">
        <f>IF(B296=0,0,VLOOKUP(C296,Tabela!$A$3:$D$653,4,FALSE))</f>
        <v>0</v>
      </c>
      <c r="G296" s="75">
        <f>IF(B296=0,0,VLOOKUP(C296,Tabela!$A$3:$D$653,3,FALSE))*IF($G$7="A VISTA",(100-$G$8)/100,1)</f>
        <v>0</v>
      </c>
      <c r="H296" s="76">
        <f t="shared" si="8"/>
        <v>0</v>
      </c>
    </row>
    <row r="297" spans="2:8" x14ac:dyDescent="0.2">
      <c r="B297" s="95"/>
      <c r="C297" s="96"/>
      <c r="D297" s="72" t="str">
        <f>IF(B297=0," ",VLOOKUP(C297,Tabela!$A$3:$D$653,2,FALSE))</f>
        <v xml:space="preserve"> </v>
      </c>
      <c r="E297" s="73"/>
      <c r="F297" s="74">
        <f>IF(B297=0,0,VLOOKUP(C297,Tabela!$A$3:$D$653,4,FALSE))</f>
        <v>0</v>
      </c>
      <c r="G297" s="75">
        <f>IF(B297=0,0,VLOOKUP(C297,Tabela!$A$3:$D$653,3,FALSE))*IF($G$7="A VISTA",(100-$G$8)/100,1)</f>
        <v>0</v>
      </c>
      <c r="H297" s="76">
        <f t="shared" si="8"/>
        <v>0</v>
      </c>
    </row>
    <row r="298" spans="2:8" x14ac:dyDescent="0.2">
      <c r="B298" s="95"/>
      <c r="C298" s="96"/>
      <c r="D298" s="72" t="str">
        <f>IF(B298=0," ",VLOOKUP(C298,Tabela!$A$3:$D$653,2,FALSE))</f>
        <v xml:space="preserve"> </v>
      </c>
      <c r="E298" s="73"/>
      <c r="F298" s="74">
        <f>IF(B298=0,0,VLOOKUP(C298,Tabela!$A$3:$D$653,4,FALSE))</f>
        <v>0</v>
      </c>
      <c r="G298" s="75">
        <f>IF(B298=0,0,VLOOKUP(C298,Tabela!$A$3:$D$653,3,FALSE))*IF($G$7="A VISTA",(100-$G$8)/100,1)</f>
        <v>0</v>
      </c>
      <c r="H298" s="76">
        <f t="shared" si="8"/>
        <v>0</v>
      </c>
    </row>
    <row r="299" spans="2:8" x14ac:dyDescent="0.2">
      <c r="B299" s="95"/>
      <c r="C299" s="96"/>
      <c r="D299" s="72" t="str">
        <f>IF(B299=0," ",VLOOKUP(C299,Tabela!$A$3:$D$653,2,FALSE))</f>
        <v xml:space="preserve"> </v>
      </c>
      <c r="E299" s="73"/>
      <c r="F299" s="74">
        <f>IF(B299=0,0,VLOOKUP(C299,Tabela!$A$3:$D$653,4,FALSE))</f>
        <v>0</v>
      </c>
      <c r="G299" s="75">
        <f>IF(B299=0,0,VLOOKUP(C299,Tabela!$A$3:$D$653,3,FALSE))*IF($G$7="A VISTA",(100-$G$8)/100,1)</f>
        <v>0</v>
      </c>
      <c r="H299" s="76">
        <f t="shared" si="8"/>
        <v>0</v>
      </c>
    </row>
    <row r="300" spans="2:8" x14ac:dyDescent="0.2">
      <c r="B300" s="95"/>
      <c r="C300" s="96"/>
      <c r="D300" s="72" t="str">
        <f>IF(B300=0," ",VLOOKUP(C300,Tabela!$A$3:$D$653,2,FALSE))</f>
        <v xml:space="preserve"> </v>
      </c>
      <c r="E300" s="73"/>
      <c r="F300" s="74">
        <f>IF(B300=0,0,VLOOKUP(C300,Tabela!$A$3:$D$653,4,FALSE))</f>
        <v>0</v>
      </c>
      <c r="G300" s="75">
        <f>IF(B300=0,0,VLOOKUP(C300,Tabela!$A$3:$D$653,3,FALSE))*IF($G$7="A VISTA",(100-$G$8)/100,1)</f>
        <v>0</v>
      </c>
      <c r="H300" s="76">
        <f t="shared" si="8"/>
        <v>0</v>
      </c>
    </row>
    <row r="301" spans="2:8" x14ac:dyDescent="0.2">
      <c r="B301" s="95"/>
      <c r="C301" s="96"/>
      <c r="D301" s="72" t="str">
        <f>IF(B301=0," ",VLOOKUP(C301,Tabela!$A$3:$D$653,2,FALSE))</f>
        <v xml:space="preserve"> </v>
      </c>
      <c r="E301" s="73"/>
      <c r="F301" s="74">
        <f>IF(B301=0,0,VLOOKUP(C301,Tabela!$A$3:$D$653,4,FALSE))</f>
        <v>0</v>
      </c>
      <c r="G301" s="75">
        <f>IF(B301=0,0,VLOOKUP(C301,Tabela!$A$3:$D$653,3,FALSE))*IF($G$7="A VISTA",(100-$G$8)/100,1)</f>
        <v>0</v>
      </c>
      <c r="H301" s="76">
        <f t="shared" si="8"/>
        <v>0</v>
      </c>
    </row>
    <row r="302" spans="2:8" x14ac:dyDescent="0.2">
      <c r="B302" s="95"/>
      <c r="C302" s="96"/>
      <c r="D302" s="72" t="str">
        <f>IF(B302=0," ",VLOOKUP(C302,Tabela!$A$3:$D$653,2,FALSE))</f>
        <v xml:space="preserve"> </v>
      </c>
      <c r="E302" s="73"/>
      <c r="F302" s="74">
        <f>IF(B302=0,0,VLOOKUP(C302,Tabela!$A$3:$D$653,4,FALSE))</f>
        <v>0</v>
      </c>
      <c r="G302" s="75">
        <f>IF(B302=0,0,VLOOKUP(C302,Tabela!$A$3:$D$653,3,FALSE))*IF($G$7="A VISTA",(100-$G$8)/100,1)</f>
        <v>0</v>
      </c>
      <c r="H302" s="76">
        <f t="shared" si="8"/>
        <v>0</v>
      </c>
    </row>
    <row r="303" spans="2:8" x14ac:dyDescent="0.2">
      <c r="B303" s="95"/>
      <c r="C303" s="96"/>
      <c r="D303" s="72" t="str">
        <f>IF(B303=0," ",VLOOKUP(C303,Tabela!$A$3:$D$653,2,FALSE))</f>
        <v xml:space="preserve"> </v>
      </c>
      <c r="E303" s="73"/>
      <c r="F303" s="74">
        <f>IF(B303=0,0,VLOOKUP(C303,Tabela!$A$3:$D$653,4,FALSE))</f>
        <v>0</v>
      </c>
      <c r="G303" s="75">
        <f>IF(B303=0,0,VLOOKUP(C303,Tabela!$A$3:$D$653,3,FALSE))*IF($G$7="A VISTA",(100-$G$8)/100,1)</f>
        <v>0</v>
      </c>
      <c r="H303" s="76">
        <f t="shared" si="8"/>
        <v>0</v>
      </c>
    </row>
    <row r="304" spans="2:8" x14ac:dyDescent="0.2">
      <c r="B304" s="95"/>
      <c r="C304" s="96"/>
      <c r="D304" s="72" t="str">
        <f>IF(B304=0," ",VLOOKUP(C304,Tabela!$A$3:$D$653,2,FALSE))</f>
        <v xml:space="preserve"> </v>
      </c>
      <c r="E304" s="73"/>
      <c r="F304" s="74">
        <f>IF(B304=0,0,VLOOKUP(C304,Tabela!$A$3:$D$653,4,FALSE))</f>
        <v>0</v>
      </c>
      <c r="G304" s="75">
        <f>IF(B304=0,0,VLOOKUP(C304,Tabela!$A$3:$D$653,3,FALSE))*IF($G$7="A VISTA",(100-$G$8)/100,1)</f>
        <v>0</v>
      </c>
      <c r="H304" s="76">
        <f t="shared" si="8"/>
        <v>0</v>
      </c>
    </row>
    <row r="305" spans="2:8" x14ac:dyDescent="0.2">
      <c r="B305" s="95"/>
      <c r="C305" s="96"/>
      <c r="D305" s="72" t="str">
        <f>IF(B305=0," ",VLOOKUP(C305,Tabela!$A$3:$D$653,2,FALSE))</f>
        <v xml:space="preserve"> </v>
      </c>
      <c r="E305" s="73"/>
      <c r="F305" s="74">
        <f>IF(B305=0,0,VLOOKUP(C305,Tabela!$A$3:$D$653,4,FALSE))</f>
        <v>0</v>
      </c>
      <c r="G305" s="75">
        <f>IF(B305=0,0,VLOOKUP(C305,Tabela!$A$3:$D$653,3,FALSE))*IF($G$7="A VISTA",(100-$G$8)/100,1)</f>
        <v>0</v>
      </c>
      <c r="H305" s="76">
        <f t="shared" si="8"/>
        <v>0</v>
      </c>
    </row>
    <row r="306" spans="2:8" x14ac:dyDescent="0.2">
      <c r="B306" s="95"/>
      <c r="C306" s="96"/>
      <c r="D306" s="72" t="str">
        <f>IF(B306=0," ",VLOOKUP(C306,Tabela!$A$3:$D$653,2,FALSE))</f>
        <v xml:space="preserve"> </v>
      </c>
      <c r="E306" s="73"/>
      <c r="F306" s="74">
        <f>IF(B306=0,0,VLOOKUP(C306,Tabela!$A$3:$D$653,4,FALSE))</f>
        <v>0</v>
      </c>
      <c r="G306" s="75">
        <f>IF(B306=0,0,VLOOKUP(C306,Tabela!$A$3:$D$653,3,FALSE))*IF($G$7="A VISTA",(100-$G$8)/100,1)</f>
        <v>0</v>
      </c>
      <c r="H306" s="76">
        <f t="shared" si="8"/>
        <v>0</v>
      </c>
    </row>
    <row r="307" spans="2:8" x14ac:dyDescent="0.2">
      <c r="B307" s="95"/>
      <c r="C307" s="96"/>
      <c r="D307" s="72" t="str">
        <f>IF(B307=0," ",VLOOKUP(C307,Tabela!$A$3:$D$653,2,FALSE))</f>
        <v xml:space="preserve"> </v>
      </c>
      <c r="E307" s="73"/>
      <c r="F307" s="74">
        <f>IF(B307=0,0,VLOOKUP(C307,Tabela!$A$3:$D$653,4,FALSE))</f>
        <v>0</v>
      </c>
      <c r="G307" s="75">
        <f>IF(B307=0,0,VLOOKUP(C307,Tabela!$A$3:$D$653,3,FALSE))*IF($G$7="A VISTA",(100-$G$8)/100,1)</f>
        <v>0</v>
      </c>
      <c r="H307" s="76">
        <f t="shared" si="8"/>
        <v>0</v>
      </c>
    </row>
    <row r="308" spans="2:8" x14ac:dyDescent="0.2">
      <c r="B308" s="95"/>
      <c r="C308" s="96"/>
      <c r="D308" s="72" t="str">
        <f>IF(B308=0," ",VLOOKUP(C308,Tabela!$A$3:$D$653,2,FALSE))</f>
        <v xml:space="preserve"> </v>
      </c>
      <c r="E308" s="73"/>
      <c r="F308" s="74">
        <f>IF(B308=0,0,VLOOKUP(C308,Tabela!$A$3:$D$653,4,FALSE))</f>
        <v>0</v>
      </c>
      <c r="G308" s="75">
        <f>IF(B308=0,0,VLOOKUP(C308,Tabela!$A$3:$D$653,3,FALSE))*IF($G$7="A VISTA",(100-$G$8)/100,1)</f>
        <v>0</v>
      </c>
      <c r="H308" s="76">
        <f t="shared" si="8"/>
        <v>0</v>
      </c>
    </row>
    <row r="309" spans="2:8" x14ac:dyDescent="0.2">
      <c r="B309" s="95"/>
      <c r="C309" s="96"/>
      <c r="D309" s="72" t="str">
        <f>IF(B309=0," ",VLOOKUP(C309,Tabela!$A$3:$D$653,2,FALSE))</f>
        <v xml:space="preserve"> </v>
      </c>
      <c r="E309" s="73"/>
      <c r="F309" s="74">
        <f>IF(B309=0,0,VLOOKUP(C309,Tabela!$A$3:$D$653,4,FALSE))</f>
        <v>0</v>
      </c>
      <c r="G309" s="75">
        <f>IF(B309=0,0,VLOOKUP(C309,Tabela!$A$3:$D$653,3,FALSE))*IF($G$7="A VISTA",(100-$G$8)/100,1)</f>
        <v>0</v>
      </c>
      <c r="H309" s="76">
        <f t="shared" si="8"/>
        <v>0</v>
      </c>
    </row>
    <row r="310" spans="2:8" x14ac:dyDescent="0.2">
      <c r="B310" s="95"/>
      <c r="C310" s="96"/>
      <c r="D310" s="72" t="str">
        <f>IF(B310=0," ",VLOOKUP(C310,Tabela!$A$3:$D$653,2,FALSE))</f>
        <v xml:space="preserve"> </v>
      </c>
      <c r="E310" s="73"/>
      <c r="F310" s="74">
        <f>IF(B310=0,0,VLOOKUP(C310,Tabela!$A$3:$D$653,4,FALSE))</f>
        <v>0</v>
      </c>
      <c r="G310" s="75">
        <f>IF(B310=0,0,VLOOKUP(C310,Tabela!$A$3:$D$653,3,FALSE))*IF($G$7="A VISTA",(100-$G$8)/100,1)</f>
        <v>0</v>
      </c>
      <c r="H310" s="76">
        <f t="shared" si="8"/>
        <v>0</v>
      </c>
    </row>
    <row r="311" spans="2:8" x14ac:dyDescent="0.2">
      <c r="B311" s="95"/>
      <c r="C311" s="96"/>
      <c r="D311" s="72" t="str">
        <f>IF(B311=0," ",VLOOKUP(C311,Tabela!$A$3:$D$653,2,FALSE))</f>
        <v xml:space="preserve"> </v>
      </c>
      <c r="E311" s="73"/>
      <c r="F311" s="74">
        <f>IF(B311=0,0,VLOOKUP(C311,Tabela!$A$3:$D$653,4,FALSE))</f>
        <v>0</v>
      </c>
      <c r="G311" s="75">
        <f>IF(B311=0,0,VLOOKUP(C311,Tabela!$A$3:$D$653,3,FALSE))*IF($G$7="A VISTA",(100-$G$8)/100,1)</f>
        <v>0</v>
      </c>
      <c r="H311" s="76">
        <f t="shared" si="8"/>
        <v>0</v>
      </c>
    </row>
    <row r="312" spans="2:8" x14ac:dyDescent="0.2">
      <c r="B312" s="95"/>
      <c r="C312" s="96"/>
      <c r="D312" s="72" t="str">
        <f>IF(B312=0," ",VLOOKUP(C312,Tabela!$A$3:$D$653,2,FALSE))</f>
        <v xml:space="preserve"> </v>
      </c>
      <c r="E312" s="73"/>
      <c r="F312" s="74">
        <f>IF(B312=0,0,VLOOKUP(C312,Tabela!$A$3:$D$653,4,FALSE))</f>
        <v>0</v>
      </c>
      <c r="G312" s="75">
        <f>IF(B312=0,0,VLOOKUP(C312,Tabela!$A$3:$D$653,3,FALSE))*IF($G$7="A VISTA",(100-$G$8)/100,1)</f>
        <v>0</v>
      </c>
      <c r="H312" s="76">
        <f t="shared" si="8"/>
        <v>0</v>
      </c>
    </row>
    <row r="313" spans="2:8" x14ac:dyDescent="0.2">
      <c r="B313" s="95"/>
      <c r="C313" s="96"/>
      <c r="D313" s="72" t="str">
        <f>IF(B313=0," ",VLOOKUP(C313,Tabela!$A$3:$D$653,2,FALSE))</f>
        <v xml:space="preserve"> </v>
      </c>
      <c r="E313" s="73"/>
      <c r="F313" s="74">
        <f>IF(B313=0,0,VLOOKUP(C313,Tabela!$A$3:$D$653,4,FALSE))</f>
        <v>0</v>
      </c>
      <c r="G313" s="75">
        <f>IF(B313=0,0,VLOOKUP(C313,Tabela!$A$3:$D$653,3,FALSE))*IF($G$7="A VISTA",(100-$G$8)/100,1)</f>
        <v>0</v>
      </c>
      <c r="H313" s="76">
        <f t="shared" si="8"/>
        <v>0</v>
      </c>
    </row>
    <row r="314" spans="2:8" x14ac:dyDescent="0.2">
      <c r="B314" s="95"/>
      <c r="C314" s="96"/>
      <c r="D314" s="72" t="str">
        <f>IF(B314=0," ",VLOOKUP(C314,Tabela!$A$3:$D$653,2,FALSE))</f>
        <v xml:space="preserve"> </v>
      </c>
      <c r="E314" s="73"/>
      <c r="F314" s="74">
        <f>IF(B314=0,0,VLOOKUP(C314,Tabela!$A$3:$D$653,4,FALSE))</f>
        <v>0</v>
      </c>
      <c r="G314" s="75">
        <f>IF(B314=0,0,VLOOKUP(C314,Tabela!$A$3:$D$653,3,FALSE))*IF($G$7="A VISTA",(100-$G$8)/100,1)</f>
        <v>0</v>
      </c>
      <c r="H314" s="76">
        <f t="shared" si="8"/>
        <v>0</v>
      </c>
    </row>
    <row r="315" spans="2:8" x14ac:dyDescent="0.2">
      <c r="B315" s="95"/>
      <c r="C315" s="96"/>
      <c r="D315" s="72" t="str">
        <f>IF(B315=0," ",VLOOKUP(C315,Tabela!$A$3:$D$653,2,FALSE))</f>
        <v xml:space="preserve"> </v>
      </c>
      <c r="E315" s="73"/>
      <c r="F315" s="74">
        <f>IF(B315=0,0,VLOOKUP(C315,Tabela!$A$3:$D$653,4,FALSE))</f>
        <v>0</v>
      </c>
      <c r="G315" s="75">
        <f>IF(B315=0,0,VLOOKUP(C315,Tabela!$A$3:$D$653,3,FALSE))*IF($G$7="A VISTA",(100-$G$8)/100,1)</f>
        <v>0</v>
      </c>
      <c r="H315" s="76">
        <f t="shared" si="8"/>
        <v>0</v>
      </c>
    </row>
    <row r="316" spans="2:8" x14ac:dyDescent="0.2">
      <c r="B316" s="95"/>
      <c r="C316" s="96"/>
      <c r="D316" s="72" t="str">
        <f>IF(B316=0," ",VLOOKUP(C316,Tabela!$A$3:$D$653,2,FALSE))</f>
        <v xml:space="preserve"> </v>
      </c>
      <c r="E316" s="73"/>
      <c r="F316" s="74">
        <f>IF(B316=0,0,VLOOKUP(C316,Tabela!$A$3:$D$653,4,FALSE))</f>
        <v>0</v>
      </c>
      <c r="G316" s="75">
        <f>IF(B316=0,0,VLOOKUP(C316,Tabela!$A$3:$D$653,3,FALSE))*IF($G$7="A VISTA",(100-$G$8)/100,1)</f>
        <v>0</v>
      </c>
      <c r="H316" s="76">
        <f t="shared" si="8"/>
        <v>0</v>
      </c>
    </row>
    <row r="317" spans="2:8" x14ac:dyDescent="0.2">
      <c r="B317" s="95"/>
      <c r="C317" s="96"/>
      <c r="D317" s="72" t="str">
        <f>IF(B317=0," ",VLOOKUP(C317,Tabela!$A$3:$D$653,2,FALSE))</f>
        <v xml:space="preserve"> </v>
      </c>
      <c r="E317" s="73"/>
      <c r="F317" s="74">
        <f>IF(B317=0,0,VLOOKUP(C317,Tabela!$A$3:$D$653,4,FALSE))</f>
        <v>0</v>
      </c>
      <c r="G317" s="75">
        <f>IF(B317=0,0,VLOOKUP(C317,Tabela!$A$3:$D$653,3,FALSE))*IF($G$7="A VISTA",(100-$G$8)/100,1)</f>
        <v>0</v>
      </c>
      <c r="H317" s="76">
        <f t="shared" si="8"/>
        <v>0</v>
      </c>
    </row>
    <row r="318" spans="2:8" x14ac:dyDescent="0.2">
      <c r="B318" s="95"/>
      <c r="C318" s="96"/>
      <c r="D318" s="72" t="str">
        <f>IF(B318=0," ",VLOOKUP(C318,Tabela!$A$3:$D$653,2,FALSE))</f>
        <v xml:space="preserve"> </v>
      </c>
      <c r="E318" s="73"/>
      <c r="F318" s="74">
        <f>IF(B318=0,0,VLOOKUP(C318,Tabela!$A$3:$D$653,4,FALSE))</f>
        <v>0</v>
      </c>
      <c r="G318" s="75">
        <f>IF(B318=0,0,VLOOKUP(C318,Tabela!$A$3:$D$653,3,FALSE))*IF($G$7="A VISTA",(100-$G$8)/100,1)</f>
        <v>0</v>
      </c>
      <c r="H318" s="76">
        <f t="shared" si="8"/>
        <v>0</v>
      </c>
    </row>
    <row r="319" spans="2:8" x14ac:dyDescent="0.2">
      <c r="B319" s="95"/>
      <c r="C319" s="96"/>
      <c r="D319" s="72" t="str">
        <f>IF(B319=0," ",VLOOKUP(C319,Tabela!$A$3:$D$653,2,FALSE))</f>
        <v xml:space="preserve"> </v>
      </c>
      <c r="E319" s="73"/>
      <c r="F319" s="74">
        <f>IF(B319=0,0,VLOOKUP(C319,Tabela!$A$3:$D$653,4,FALSE))</f>
        <v>0</v>
      </c>
      <c r="G319" s="75">
        <f>IF(B319=0,0,VLOOKUP(C319,Tabela!$A$3:$D$653,3,FALSE))*IF($G$7="A VISTA",(100-$G$8)/100,1)</f>
        <v>0</v>
      </c>
      <c r="H319" s="76">
        <f t="shared" si="8"/>
        <v>0</v>
      </c>
    </row>
    <row r="320" spans="2:8" x14ac:dyDescent="0.2">
      <c r="B320" s="95"/>
      <c r="C320" s="96"/>
      <c r="D320" s="72" t="str">
        <f>IF(B320=0," ",VLOOKUP(C320,Tabela!$A$3:$D$653,2,FALSE))</f>
        <v xml:space="preserve"> </v>
      </c>
      <c r="E320" s="73"/>
      <c r="F320" s="74">
        <f>IF(B320=0,0,VLOOKUP(C320,Tabela!$A$3:$D$653,4,FALSE))</f>
        <v>0</v>
      </c>
      <c r="G320" s="75">
        <f>IF(B320=0,0,VLOOKUP(C320,Tabela!$A$3:$D$653,3,FALSE))*IF($G$7="A VISTA",(100-$G$8)/100,1)</f>
        <v>0</v>
      </c>
      <c r="H320" s="76">
        <f t="shared" si="8"/>
        <v>0</v>
      </c>
    </row>
    <row r="321" spans="2:8" x14ac:dyDescent="0.2">
      <c r="B321" s="95"/>
      <c r="C321" s="96"/>
      <c r="D321" s="72" t="str">
        <f>IF(B321=0," ",VLOOKUP(C321,Tabela!$A$3:$D$653,2,FALSE))</f>
        <v xml:space="preserve"> </v>
      </c>
      <c r="E321" s="73"/>
      <c r="F321" s="74">
        <f>IF(B321=0,0,VLOOKUP(C321,Tabela!$A$3:$D$653,4,FALSE))</f>
        <v>0</v>
      </c>
      <c r="G321" s="75">
        <f>IF(B321=0,0,VLOOKUP(C321,Tabela!$A$3:$D$653,3,FALSE))*IF($G$7="A VISTA",(100-$G$8)/100,1)</f>
        <v>0</v>
      </c>
      <c r="H321" s="76">
        <f t="shared" si="8"/>
        <v>0</v>
      </c>
    </row>
    <row r="322" spans="2:8" x14ac:dyDescent="0.2">
      <c r="B322" s="95"/>
      <c r="C322" s="96"/>
      <c r="D322" s="72" t="str">
        <f>IF(B322=0," ",VLOOKUP(C322,Tabela!$A$3:$D$653,2,FALSE))</f>
        <v xml:space="preserve"> </v>
      </c>
      <c r="E322" s="73"/>
      <c r="F322" s="74">
        <f>IF(B322=0,0,VLOOKUP(C322,Tabela!$A$3:$D$653,4,FALSE))</f>
        <v>0</v>
      </c>
      <c r="G322" s="75">
        <f>IF(B322=0,0,VLOOKUP(C322,Tabela!$A$3:$D$653,3,FALSE))*IF($G$7="A VISTA",(100-$G$8)/100,1)</f>
        <v>0</v>
      </c>
      <c r="H322" s="76">
        <f t="shared" si="8"/>
        <v>0</v>
      </c>
    </row>
    <row r="323" spans="2:8" x14ac:dyDescent="0.2">
      <c r="B323" s="95"/>
      <c r="C323" s="96"/>
      <c r="D323" s="72" t="str">
        <f>IF(B323=0," ",VLOOKUP(C323,Tabela!$A$3:$D$653,2,FALSE))</f>
        <v xml:space="preserve"> </v>
      </c>
      <c r="E323" s="73"/>
      <c r="F323" s="74">
        <f>IF(B323=0,0,VLOOKUP(C323,Tabela!$A$3:$D$653,4,FALSE))</f>
        <v>0</v>
      </c>
      <c r="G323" s="75">
        <f>IF(B323=0,0,VLOOKUP(C323,Tabela!$A$3:$D$653,3,FALSE))*IF($G$7="A VISTA",(100-$G$8)/100,1)</f>
        <v>0</v>
      </c>
      <c r="H323" s="76">
        <f t="shared" si="8"/>
        <v>0</v>
      </c>
    </row>
    <row r="324" spans="2:8" x14ac:dyDescent="0.2">
      <c r="B324" s="95"/>
      <c r="C324" s="96"/>
      <c r="D324" s="72" t="str">
        <f>IF(B324=0," ",VLOOKUP(C324,Tabela!$A$3:$D$653,2,FALSE))</f>
        <v xml:space="preserve"> </v>
      </c>
      <c r="E324" s="73"/>
      <c r="F324" s="74">
        <f>IF(B324=0,0,VLOOKUP(C324,Tabela!$A$3:$D$653,4,FALSE))</f>
        <v>0</v>
      </c>
      <c r="G324" s="75">
        <f>IF(B324=0,0,VLOOKUP(C324,Tabela!$A$3:$D$653,3,FALSE))*IF($G$7="A VISTA",(100-$G$8)/100,1)</f>
        <v>0</v>
      </c>
      <c r="H324" s="76">
        <f t="shared" si="8"/>
        <v>0</v>
      </c>
    </row>
    <row r="325" spans="2:8" x14ac:dyDescent="0.2">
      <c r="B325" s="95"/>
      <c r="C325" s="96"/>
      <c r="D325" s="72" t="str">
        <f>IF(B325=0," ",VLOOKUP(C325,Tabela!$A$3:$D$653,2,FALSE))</f>
        <v xml:space="preserve"> </v>
      </c>
      <c r="E325" s="73"/>
      <c r="F325" s="74">
        <f>IF(B325=0,0,VLOOKUP(C325,Tabela!$A$3:$D$653,4,FALSE))</f>
        <v>0</v>
      </c>
      <c r="G325" s="75">
        <f>IF(B325=0,0,VLOOKUP(C325,Tabela!$A$3:$D$653,3,FALSE))*IF($G$7="A VISTA",(100-$G$8)/100,1)</f>
        <v>0</v>
      </c>
      <c r="H325" s="76">
        <f t="shared" si="8"/>
        <v>0</v>
      </c>
    </row>
    <row r="326" spans="2:8" x14ac:dyDescent="0.2">
      <c r="B326" s="95"/>
      <c r="C326" s="96"/>
      <c r="D326" s="72" t="str">
        <f>IF(B326=0," ",VLOOKUP(C326,Tabela!$A$3:$D$653,2,FALSE))</f>
        <v xml:space="preserve"> </v>
      </c>
      <c r="E326" s="73"/>
      <c r="F326" s="74">
        <f>IF(B326=0,0,VLOOKUP(C326,Tabela!$A$3:$D$653,4,FALSE))</f>
        <v>0</v>
      </c>
      <c r="G326" s="75">
        <f>IF(B326=0,0,VLOOKUP(C326,Tabela!$A$3:$D$653,3,FALSE))*IF($G$7="A VISTA",(100-$G$8)/100,1)</f>
        <v>0</v>
      </c>
      <c r="H326" s="76">
        <f t="shared" si="8"/>
        <v>0</v>
      </c>
    </row>
    <row r="327" spans="2:8" x14ac:dyDescent="0.2">
      <c r="B327" s="95"/>
      <c r="C327" s="96"/>
      <c r="D327" s="72" t="str">
        <f>IF(B327=0," ",VLOOKUP(C327,Tabela!$A$3:$D$653,2,FALSE))</f>
        <v xml:space="preserve"> </v>
      </c>
      <c r="E327" s="73"/>
      <c r="F327" s="74">
        <f>IF(B327=0,0,VLOOKUP(C327,Tabela!$A$3:$D$653,4,FALSE))</f>
        <v>0</v>
      </c>
      <c r="G327" s="75">
        <f>IF(B327=0,0,VLOOKUP(C327,Tabela!$A$3:$D$653,3,FALSE))*IF($G$7="A VISTA",(100-$G$8)/100,1)</f>
        <v>0</v>
      </c>
      <c r="H327" s="76">
        <f t="shared" si="8"/>
        <v>0</v>
      </c>
    </row>
    <row r="328" spans="2:8" x14ac:dyDescent="0.2">
      <c r="B328" s="95"/>
      <c r="C328" s="96"/>
      <c r="D328" s="72" t="str">
        <f>IF(B328=0," ",VLOOKUP(C328,Tabela!$A$3:$D$653,2,FALSE))</f>
        <v xml:space="preserve"> </v>
      </c>
      <c r="E328" s="73"/>
      <c r="F328" s="74">
        <f>IF(B328=0,0,VLOOKUP(C328,Tabela!$A$3:$D$653,4,FALSE))</f>
        <v>0</v>
      </c>
      <c r="G328" s="75">
        <f>IF(B328=0,0,VLOOKUP(C328,Tabela!$A$3:$D$653,3,FALSE))*IF($G$7="A VISTA",(100-$G$8)/100,1)</f>
        <v>0</v>
      </c>
      <c r="H328" s="76">
        <f t="shared" si="8"/>
        <v>0</v>
      </c>
    </row>
    <row r="329" spans="2:8" x14ac:dyDescent="0.2">
      <c r="B329" s="95"/>
      <c r="C329" s="96"/>
      <c r="D329" s="72" t="str">
        <f>IF(B329=0," ",VLOOKUP(C329,Tabela!$A$3:$D$653,2,FALSE))</f>
        <v xml:space="preserve"> </v>
      </c>
      <c r="E329" s="73"/>
      <c r="F329" s="74">
        <f>IF(B329=0,0,VLOOKUP(C329,Tabela!$A$3:$D$653,4,FALSE))</f>
        <v>0</v>
      </c>
      <c r="G329" s="75">
        <f>IF(B329=0,0,VLOOKUP(C329,Tabela!$A$3:$D$653,3,FALSE))*IF($G$7="A VISTA",(100-$G$8)/100,1)</f>
        <v>0</v>
      </c>
      <c r="H329" s="76">
        <f t="shared" si="8"/>
        <v>0</v>
      </c>
    </row>
    <row r="330" spans="2:8" x14ac:dyDescent="0.2">
      <c r="B330" s="95"/>
      <c r="C330" s="96"/>
      <c r="D330" s="72" t="str">
        <f>IF(B330=0," ",VLOOKUP(C330,Tabela!$A$3:$D$653,2,FALSE))</f>
        <v xml:space="preserve"> </v>
      </c>
      <c r="E330" s="73"/>
      <c r="F330" s="74">
        <f>IF(B330=0,0,VLOOKUP(C330,Tabela!$A$3:$D$653,4,FALSE))</f>
        <v>0</v>
      </c>
      <c r="G330" s="75">
        <f>IF(B330=0,0,VLOOKUP(C330,Tabela!$A$3:$D$653,3,FALSE))*IF($G$7="A VISTA",(100-$G$8)/100,1)</f>
        <v>0</v>
      </c>
      <c r="H330" s="76">
        <f t="shared" si="8"/>
        <v>0</v>
      </c>
    </row>
    <row r="331" spans="2:8" x14ac:dyDescent="0.2">
      <c r="B331" s="95"/>
      <c r="C331" s="96"/>
      <c r="D331" s="72" t="str">
        <f>IF(B331=0," ",VLOOKUP(C331,Tabela!$A$3:$D$653,2,FALSE))</f>
        <v xml:space="preserve"> </v>
      </c>
      <c r="E331" s="73"/>
      <c r="F331" s="74">
        <f>IF(B331=0,0,VLOOKUP(C331,Tabela!$A$3:$D$653,4,FALSE))</f>
        <v>0</v>
      </c>
      <c r="G331" s="75">
        <f>IF(B331=0,0,VLOOKUP(C331,Tabela!$A$3:$D$653,3,FALSE))*IF($G$7="A VISTA",(100-$G$8)/100,1)</f>
        <v>0</v>
      </c>
      <c r="H331" s="76">
        <f t="shared" si="8"/>
        <v>0</v>
      </c>
    </row>
    <row r="332" spans="2:8" x14ac:dyDescent="0.2">
      <c r="B332" s="95"/>
      <c r="C332" s="96"/>
      <c r="D332" s="72" t="str">
        <f>IF(B332=0," ",VLOOKUP(C332,Tabela!$A$3:$D$653,2,FALSE))</f>
        <v xml:space="preserve"> </v>
      </c>
      <c r="E332" s="73"/>
      <c r="F332" s="74">
        <f>IF(B332=0,0,VLOOKUP(C332,Tabela!$A$3:$D$653,4,FALSE))</f>
        <v>0</v>
      </c>
      <c r="G332" s="75">
        <f>IF(B332=0,0,VLOOKUP(C332,Tabela!$A$3:$D$653,3,FALSE))*IF($G$7="A VISTA",(100-$G$8)/100,1)</f>
        <v>0</v>
      </c>
      <c r="H332" s="76">
        <f t="shared" ref="H332:H343" si="9">B332*G332</f>
        <v>0</v>
      </c>
    </row>
    <row r="333" spans="2:8" x14ac:dyDescent="0.2">
      <c r="B333" s="95"/>
      <c r="C333" s="96"/>
      <c r="D333" s="72" t="str">
        <f>IF(B333=0," ",VLOOKUP(C333,Tabela!$A$3:$D$653,2,FALSE))</f>
        <v xml:space="preserve"> </v>
      </c>
      <c r="E333" s="73"/>
      <c r="F333" s="74">
        <f>IF(B333=0,0,VLOOKUP(C333,Tabela!$A$3:$D$653,4,FALSE))</f>
        <v>0</v>
      </c>
      <c r="G333" s="75">
        <f>IF(B333=0,0,VLOOKUP(C333,Tabela!$A$3:$D$653,3,FALSE))*IF($G$7="A VISTA",(100-$G$8)/100,1)</f>
        <v>0</v>
      </c>
      <c r="H333" s="76">
        <f t="shared" si="9"/>
        <v>0</v>
      </c>
    </row>
    <row r="334" spans="2:8" x14ac:dyDescent="0.2">
      <c r="B334" s="95"/>
      <c r="C334" s="96"/>
      <c r="D334" s="72" t="str">
        <f>IF(B334=0," ",VLOOKUP(C334,Tabela!$A$3:$D$653,2,FALSE))</f>
        <v xml:space="preserve"> </v>
      </c>
      <c r="E334" s="73"/>
      <c r="F334" s="74">
        <f>IF(B334=0,0,VLOOKUP(C334,Tabela!$A$3:$D$653,4,FALSE))</f>
        <v>0</v>
      </c>
      <c r="G334" s="75">
        <f>IF(B334=0,0,VLOOKUP(C334,Tabela!$A$3:$D$653,3,FALSE))*IF($G$7="A VISTA",(100-$G$8)/100,1)</f>
        <v>0</v>
      </c>
      <c r="H334" s="76">
        <f t="shared" si="9"/>
        <v>0</v>
      </c>
    </row>
    <row r="335" spans="2:8" x14ac:dyDescent="0.2">
      <c r="B335" s="95"/>
      <c r="C335" s="96"/>
      <c r="D335" s="72" t="str">
        <f>IF(B335=0," ",VLOOKUP(C335,Tabela!$A$3:$D$653,2,FALSE))</f>
        <v xml:space="preserve"> </v>
      </c>
      <c r="E335" s="73"/>
      <c r="F335" s="74">
        <f>IF(B335=0,0,VLOOKUP(C335,Tabela!$A$3:$D$653,4,FALSE))</f>
        <v>0</v>
      </c>
      <c r="G335" s="75">
        <f>IF(B335=0,0,VLOOKUP(C335,Tabela!$A$3:$D$653,3,FALSE))*IF($G$7="A VISTA",(100-$G$8)/100,1)</f>
        <v>0</v>
      </c>
      <c r="H335" s="76">
        <f t="shared" si="9"/>
        <v>0</v>
      </c>
    </row>
    <row r="336" spans="2:8" x14ac:dyDescent="0.2">
      <c r="B336" s="95"/>
      <c r="C336" s="96"/>
      <c r="D336" s="72" t="str">
        <f>IF(B336=0," ",VLOOKUP(C336,Tabela!$A$3:$D$653,2,FALSE))</f>
        <v xml:space="preserve"> </v>
      </c>
      <c r="E336" s="73"/>
      <c r="F336" s="74">
        <f>IF(B336=0,0,VLOOKUP(C336,Tabela!$A$3:$D$653,4,FALSE))</f>
        <v>0</v>
      </c>
      <c r="G336" s="75">
        <f>IF(B336=0,0,VLOOKUP(C336,Tabela!$A$3:$D$653,3,FALSE))*IF($G$7="A VISTA",(100-$G$8)/100,1)</f>
        <v>0</v>
      </c>
      <c r="H336" s="76">
        <f t="shared" si="9"/>
        <v>0</v>
      </c>
    </row>
    <row r="337" spans="2:8" x14ac:dyDescent="0.2">
      <c r="B337" s="95"/>
      <c r="C337" s="96"/>
      <c r="D337" s="72" t="str">
        <f>IF(B337=0," ",VLOOKUP(C337,Tabela!$A$3:$D$653,2,FALSE))</f>
        <v xml:space="preserve"> </v>
      </c>
      <c r="E337" s="73"/>
      <c r="F337" s="74">
        <f>IF(B337=0,0,VLOOKUP(C337,Tabela!$A$3:$D$653,4,FALSE))</f>
        <v>0</v>
      </c>
      <c r="G337" s="75">
        <f>IF(B337=0,0,VLOOKUP(C337,Tabela!$A$3:$D$653,3,FALSE))*IF($G$7="A VISTA",(100-$G$8)/100,1)</f>
        <v>0</v>
      </c>
      <c r="H337" s="76">
        <f t="shared" si="9"/>
        <v>0</v>
      </c>
    </row>
    <row r="338" spans="2:8" x14ac:dyDescent="0.2">
      <c r="B338" s="95"/>
      <c r="C338" s="96"/>
      <c r="D338" s="72" t="str">
        <f>IF(B338=0," ",VLOOKUP(C338,Tabela!$A$3:$D$653,2,FALSE))</f>
        <v xml:space="preserve"> </v>
      </c>
      <c r="E338" s="73"/>
      <c r="F338" s="74">
        <f>IF(B338=0,0,VLOOKUP(C338,Tabela!$A$3:$D$653,4,FALSE))</f>
        <v>0</v>
      </c>
      <c r="G338" s="75">
        <f>IF(B338=0,0,VLOOKUP(C338,Tabela!$A$3:$D$653,3,FALSE))*IF($G$7="A VISTA",(100-$G$8)/100,1)</f>
        <v>0</v>
      </c>
      <c r="H338" s="76">
        <f t="shared" si="9"/>
        <v>0</v>
      </c>
    </row>
    <row r="339" spans="2:8" x14ac:dyDescent="0.2">
      <c r="B339" s="95"/>
      <c r="C339" s="96"/>
      <c r="D339" s="72" t="str">
        <f>IF(B339=0," ",VLOOKUP(C339,Tabela!$A$3:$D$653,2,FALSE))</f>
        <v xml:space="preserve"> </v>
      </c>
      <c r="E339" s="73"/>
      <c r="F339" s="74">
        <f>IF(B339=0,0,VLOOKUP(C339,Tabela!$A$3:$D$653,4,FALSE))</f>
        <v>0</v>
      </c>
      <c r="G339" s="75">
        <f>IF(B339=0,0,VLOOKUP(C339,Tabela!$A$3:$D$653,3,FALSE))*IF($G$7="A VISTA",(100-$G$8)/100,1)</f>
        <v>0</v>
      </c>
      <c r="H339" s="76">
        <f t="shared" si="9"/>
        <v>0</v>
      </c>
    </row>
    <row r="340" spans="2:8" x14ac:dyDescent="0.2">
      <c r="B340" s="95"/>
      <c r="C340" s="96"/>
      <c r="D340" s="72" t="str">
        <f>IF(B340=0," ",VLOOKUP(C340,Tabela!$A$3:$D$653,2,FALSE))</f>
        <v xml:space="preserve"> </v>
      </c>
      <c r="E340" s="73"/>
      <c r="F340" s="74">
        <f>IF(B340=0,0,VLOOKUP(C340,Tabela!$A$3:$D$653,4,FALSE))</f>
        <v>0</v>
      </c>
      <c r="G340" s="75">
        <f>IF(B340=0,0,VLOOKUP(C340,Tabela!$A$3:$D$653,3,FALSE))*IF($G$7="A VISTA",(100-$G$8)/100,1)</f>
        <v>0</v>
      </c>
      <c r="H340" s="76">
        <f t="shared" si="9"/>
        <v>0</v>
      </c>
    </row>
    <row r="341" spans="2:8" x14ac:dyDescent="0.2">
      <c r="B341" s="95"/>
      <c r="C341" s="96"/>
      <c r="D341" s="72" t="str">
        <f>IF(B341=0," ",VLOOKUP(C341,Tabela!$A$3:$D$653,2,FALSE))</f>
        <v xml:space="preserve"> </v>
      </c>
      <c r="E341" s="73"/>
      <c r="F341" s="74">
        <f>IF(B341=0,0,VLOOKUP(C341,Tabela!$A$3:$D$653,4,FALSE))</f>
        <v>0</v>
      </c>
      <c r="G341" s="75">
        <f>IF(B341=0,0,VLOOKUP(C341,Tabela!$A$3:$D$653,3,FALSE))*IF($G$7="A VISTA",(100-$G$8)/100,1)</f>
        <v>0</v>
      </c>
      <c r="H341" s="76">
        <f t="shared" si="9"/>
        <v>0</v>
      </c>
    </row>
    <row r="342" spans="2:8" x14ac:dyDescent="0.2">
      <c r="B342" s="95"/>
      <c r="C342" s="96"/>
      <c r="D342" s="72" t="str">
        <f>IF(B342=0," ",VLOOKUP(C342,Tabela!$A$3:$D$653,2,FALSE))</f>
        <v xml:space="preserve"> </v>
      </c>
      <c r="E342" s="73"/>
      <c r="F342" s="74">
        <f>IF(B342=0,0,VLOOKUP(C342,Tabela!$A$3:$D$653,4,FALSE))</f>
        <v>0</v>
      </c>
      <c r="G342" s="75">
        <f>IF(B342=0,0,VLOOKUP(C342,Tabela!$A$3:$D$653,3,FALSE))*IF($G$7="A VISTA",(100-$G$8)/100,1)</f>
        <v>0</v>
      </c>
      <c r="H342" s="76">
        <f t="shared" si="9"/>
        <v>0</v>
      </c>
    </row>
    <row r="343" spans="2:8" x14ac:dyDescent="0.2">
      <c r="B343" s="95"/>
      <c r="C343" s="96"/>
      <c r="D343" s="72" t="str">
        <f>IF(B343=0," ",VLOOKUP(C343,Tabela!$A$3:$D$653,2,FALSE))</f>
        <v xml:space="preserve"> </v>
      </c>
      <c r="E343" s="73"/>
      <c r="F343" s="74">
        <f>IF(B343=0,0,VLOOKUP(C343,Tabela!$A$3:$D$653,4,FALSE))</f>
        <v>0</v>
      </c>
      <c r="G343" s="75">
        <f>IF(B343=0,0,VLOOKUP(C343,Tabela!$A$3:$D$653,3,FALSE))*IF($G$7="A VISTA",(100-$G$8)/100,1)</f>
        <v>0</v>
      </c>
      <c r="H343" s="76">
        <f t="shared" si="9"/>
        <v>0</v>
      </c>
    </row>
  </sheetData>
  <mergeCells count="35">
    <mergeCell ref="D1:F1"/>
    <mergeCell ref="B17:C17"/>
    <mergeCell ref="G7:H7"/>
    <mergeCell ref="G5:H5"/>
    <mergeCell ref="G6:H6"/>
    <mergeCell ref="E4:F4"/>
    <mergeCell ref="E5:F5"/>
    <mergeCell ref="E6:F6"/>
    <mergeCell ref="E7:F7"/>
    <mergeCell ref="E12:F12"/>
    <mergeCell ref="E14:F14"/>
    <mergeCell ref="G14:H14"/>
    <mergeCell ref="G17:H17"/>
    <mergeCell ref="B9:C9"/>
    <mergeCell ref="B6:C6"/>
    <mergeCell ref="B11:C11"/>
    <mergeCell ref="B21:H21"/>
    <mergeCell ref="B18:C18"/>
    <mergeCell ref="G18:H18"/>
    <mergeCell ref="B12:C12"/>
    <mergeCell ref="B13:C13"/>
    <mergeCell ref="B14:C14"/>
    <mergeCell ref="B15:C15"/>
    <mergeCell ref="G12:H12"/>
    <mergeCell ref="B19:C19"/>
    <mergeCell ref="D19:H19"/>
    <mergeCell ref="E13:F13"/>
    <mergeCell ref="G13:H13"/>
    <mergeCell ref="G11:H11"/>
    <mergeCell ref="E11:F11"/>
    <mergeCell ref="E3:H3"/>
    <mergeCell ref="G4:H4"/>
    <mergeCell ref="B4:C4"/>
    <mergeCell ref="B5:C5"/>
    <mergeCell ref="B8:C8"/>
  </mergeCells>
  <dataValidations xWindow="1213" yWindow="511" count="4">
    <dataValidation type="custom" allowBlank="1" showInputMessage="1" showErrorMessage="1" errorTitle="Tipo de Pessoa" error="Preecha com F para Física ou J para Juridica" promptTitle="Tipo de Pessoa" prompt="Preecha com F para Física ou J para Juridica" sqref="D4" xr:uid="{00000000-0002-0000-0000-000000000000}">
      <formula1>IF(OR(D4="J",D4="F"),TRUE,FALSE)</formula1>
    </dataValidation>
    <dataValidation type="whole" allowBlank="1" showInputMessage="1" showErrorMessage="1" errorTitle="Codigo de Representante" error="Informe seu codigo de representante." promptTitle="Codigo de Representante" prompt="Informe seu codigo de representante." sqref="G4:H4" xr:uid="{00000000-0002-0000-0000-000001000000}">
      <formula1>1</formula1>
      <formula2>999</formula2>
    </dataValidation>
    <dataValidation allowBlank="1" showInputMessage="1" showErrorMessage="1" promptTitle="Desconto por Condição" prompt="5% na condição &quot;A VISTA&quot;" sqref="G7:H7" xr:uid="{00000000-0002-0000-0000-000002000000}"/>
    <dataValidation type="custom" allowBlank="1" showInputMessage="1" showErrorMessage="1" promptTitle="Tipo de Frete" prompt="Preencha &quot;CIF&quot; ou &quot;FOB&quot;" sqref="D18" xr:uid="{00000000-0002-0000-0000-000003000000}">
      <formula1>IF(OR(D18="CIF",D18="FOB"),TRUE,FALSE)</formula1>
    </dataValidation>
  </dataValidations>
  <pageMargins left="0" right="0" top="0" bottom="0" header="0.31496062992125984" footer="0.31496062992125984"/>
  <pageSetup paperSize="9" scale="80" fitToHeight="0" orientation="portrait" r:id="rId1"/>
  <headerFooter>
    <oddHeader>&amp;C&amp;A</oddHeader>
    <oddFooter>Página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M663"/>
  <sheetViews>
    <sheetView tabSelected="1" topLeftCell="A336" zoomScale="95" zoomScaleNormal="95" workbookViewId="0">
      <selection activeCell="B640" sqref="B640"/>
    </sheetView>
  </sheetViews>
  <sheetFormatPr defaultColWidth="9.140625" defaultRowHeight="14.25" x14ac:dyDescent="0.2"/>
  <cols>
    <col min="1" max="1" width="9.140625" style="83"/>
    <col min="2" max="2" width="64.42578125" style="1" customWidth="1"/>
    <col min="3" max="3" width="19.42578125" style="1" customWidth="1"/>
    <col min="4" max="4" width="46.28515625" style="1" bestFit="1" customWidth="1"/>
    <col min="5" max="16384" width="9.140625" style="1"/>
  </cols>
  <sheetData>
    <row r="1" spans="1:5" ht="18" x14ac:dyDescent="0.2">
      <c r="A1" s="148"/>
      <c r="B1" s="149"/>
      <c r="C1" s="149"/>
      <c r="D1" s="150"/>
      <c r="E1" s="40"/>
    </row>
    <row r="2" spans="1:5" ht="15" x14ac:dyDescent="0.2">
      <c r="A2" s="81" t="s">
        <v>165</v>
      </c>
      <c r="B2" s="4" t="s">
        <v>19</v>
      </c>
      <c r="C2" s="4" t="s">
        <v>166</v>
      </c>
      <c r="D2" s="4" t="s">
        <v>26</v>
      </c>
      <c r="E2" s="41"/>
    </row>
    <row r="3" spans="1:5" x14ac:dyDescent="0.2">
      <c r="A3" s="82" t="s">
        <v>113</v>
      </c>
      <c r="B3" s="3" t="s">
        <v>368</v>
      </c>
      <c r="C3" s="12">
        <v>3.25</v>
      </c>
      <c r="D3" s="2" t="s">
        <v>1239</v>
      </c>
      <c r="E3" s="41"/>
    </row>
    <row r="4" spans="1:5" x14ac:dyDescent="0.2">
      <c r="A4" s="82" t="s">
        <v>257</v>
      </c>
      <c r="B4" s="3" t="s">
        <v>369</v>
      </c>
      <c r="C4" s="12">
        <v>3.25</v>
      </c>
      <c r="D4" s="2" t="s">
        <v>1239</v>
      </c>
      <c r="E4" s="41"/>
    </row>
    <row r="5" spans="1:5" x14ac:dyDescent="0.2">
      <c r="A5" s="82" t="s">
        <v>331</v>
      </c>
      <c r="B5" s="3" t="s">
        <v>370</v>
      </c>
      <c r="C5" s="12">
        <v>3.25</v>
      </c>
      <c r="D5" s="2" t="s">
        <v>1239</v>
      </c>
      <c r="E5" s="41"/>
    </row>
    <row r="6" spans="1:5" x14ac:dyDescent="0.2">
      <c r="A6" s="82" t="s">
        <v>258</v>
      </c>
      <c r="B6" s="3" t="s">
        <v>371</v>
      </c>
      <c r="C6" s="12">
        <v>3.25</v>
      </c>
      <c r="D6" s="2" t="s">
        <v>1239</v>
      </c>
      <c r="E6" s="41"/>
    </row>
    <row r="7" spans="1:5" x14ac:dyDescent="0.2">
      <c r="A7" s="82" t="s">
        <v>259</v>
      </c>
      <c r="B7" s="3" t="s">
        <v>372</v>
      </c>
      <c r="C7" s="12">
        <v>3.25</v>
      </c>
      <c r="D7" s="2" t="s">
        <v>1239</v>
      </c>
      <c r="E7" s="41"/>
    </row>
    <row r="8" spans="1:5" x14ac:dyDescent="0.2">
      <c r="A8" s="82" t="s">
        <v>260</v>
      </c>
      <c r="B8" s="3" t="s">
        <v>373</v>
      </c>
      <c r="C8" s="12">
        <v>3.25</v>
      </c>
      <c r="D8" s="2" t="s">
        <v>1239</v>
      </c>
      <c r="E8" s="41"/>
    </row>
    <row r="9" spans="1:5" x14ac:dyDescent="0.2">
      <c r="A9" s="82" t="s">
        <v>261</v>
      </c>
      <c r="B9" s="3" t="s">
        <v>374</v>
      </c>
      <c r="C9" s="12">
        <v>3.25</v>
      </c>
      <c r="D9" s="2" t="s">
        <v>1239</v>
      </c>
      <c r="E9" s="41"/>
    </row>
    <row r="10" spans="1:5" x14ac:dyDescent="0.2">
      <c r="A10" s="82" t="s">
        <v>488</v>
      </c>
      <c r="B10" s="3" t="s">
        <v>506</v>
      </c>
      <c r="C10" s="12">
        <v>3.25</v>
      </c>
      <c r="D10" s="2" t="s">
        <v>1239</v>
      </c>
      <c r="E10" s="41"/>
    </row>
    <row r="11" spans="1:5" s="7" customFormat="1" x14ac:dyDescent="0.2">
      <c r="A11" s="82"/>
      <c r="B11" s="24"/>
      <c r="C11" s="25"/>
      <c r="D11" s="26"/>
      <c r="E11" s="41"/>
    </row>
    <row r="12" spans="1:5" x14ac:dyDescent="0.2">
      <c r="A12" s="82" t="s">
        <v>229</v>
      </c>
      <c r="B12" s="3" t="s">
        <v>375</v>
      </c>
      <c r="C12" s="12">
        <v>1.46</v>
      </c>
      <c r="D12" s="2" t="s">
        <v>1240</v>
      </c>
      <c r="E12" s="41"/>
    </row>
    <row r="13" spans="1:5" x14ac:dyDescent="0.2">
      <c r="A13" s="82" t="s">
        <v>262</v>
      </c>
      <c r="B13" s="3" t="s">
        <v>171</v>
      </c>
      <c r="C13" s="12">
        <v>1.46</v>
      </c>
      <c r="D13" s="2" t="s">
        <v>1240</v>
      </c>
      <c r="E13" s="41"/>
    </row>
    <row r="14" spans="1:5" x14ac:dyDescent="0.2">
      <c r="A14" s="82" t="s">
        <v>263</v>
      </c>
      <c r="B14" s="3" t="s">
        <v>230</v>
      </c>
      <c r="C14" s="12">
        <v>1.46</v>
      </c>
      <c r="D14" s="2" t="s">
        <v>1240</v>
      </c>
      <c r="E14" s="41"/>
    </row>
    <row r="15" spans="1:5" x14ac:dyDescent="0.2">
      <c r="A15" s="82" t="s">
        <v>264</v>
      </c>
      <c r="B15" s="3" t="s">
        <v>172</v>
      </c>
      <c r="C15" s="12">
        <v>1.46</v>
      </c>
      <c r="D15" s="2" t="s">
        <v>1240</v>
      </c>
      <c r="E15" s="41"/>
    </row>
    <row r="16" spans="1:5" x14ac:dyDescent="0.2">
      <c r="A16" s="82" t="s">
        <v>265</v>
      </c>
      <c r="B16" s="3" t="s">
        <v>173</v>
      </c>
      <c r="C16" s="12">
        <v>1.46</v>
      </c>
      <c r="D16" s="2" t="s">
        <v>1240</v>
      </c>
      <c r="E16" s="41"/>
    </row>
    <row r="17" spans="1:5" x14ac:dyDescent="0.2">
      <c r="A17" s="82" t="s">
        <v>266</v>
      </c>
      <c r="B17" s="3" t="s">
        <v>174</v>
      </c>
      <c r="C17" s="12">
        <v>1.46</v>
      </c>
      <c r="D17" s="2" t="s">
        <v>1240</v>
      </c>
      <c r="E17" s="41"/>
    </row>
    <row r="18" spans="1:5" x14ac:dyDescent="0.2">
      <c r="A18" s="82" t="s">
        <v>267</v>
      </c>
      <c r="B18" s="3" t="s">
        <v>1161</v>
      </c>
      <c r="C18" s="12">
        <v>1.46</v>
      </c>
      <c r="D18" s="2" t="s">
        <v>1240</v>
      </c>
      <c r="E18" s="41"/>
    </row>
    <row r="19" spans="1:5" x14ac:dyDescent="0.2">
      <c r="A19" s="82" t="s">
        <v>268</v>
      </c>
      <c r="B19" s="3" t="s">
        <v>1164</v>
      </c>
      <c r="C19" s="12">
        <v>1.46</v>
      </c>
      <c r="D19" s="2" t="s">
        <v>1240</v>
      </c>
      <c r="E19" s="41"/>
    </row>
    <row r="20" spans="1:5" x14ac:dyDescent="0.2">
      <c r="A20" s="82" t="s">
        <v>269</v>
      </c>
      <c r="B20" s="3" t="s">
        <v>1160</v>
      </c>
      <c r="C20" s="12">
        <v>1.46</v>
      </c>
      <c r="D20" s="2" t="s">
        <v>1240</v>
      </c>
      <c r="E20" s="41"/>
    </row>
    <row r="21" spans="1:5" x14ac:dyDescent="0.2">
      <c r="A21" s="82" t="s">
        <v>270</v>
      </c>
      <c r="B21" s="18" t="s">
        <v>1163</v>
      </c>
      <c r="C21" s="12">
        <v>1.46</v>
      </c>
      <c r="D21" s="2" t="s">
        <v>1240</v>
      </c>
      <c r="E21" s="41"/>
    </row>
    <row r="22" spans="1:5" x14ac:dyDescent="0.2">
      <c r="A22" s="82" t="s">
        <v>549</v>
      </c>
      <c r="B22" s="3" t="s">
        <v>550</v>
      </c>
      <c r="C22" s="12">
        <v>1.46</v>
      </c>
      <c r="D22" s="2" t="s">
        <v>1240</v>
      </c>
      <c r="E22" s="41"/>
    </row>
    <row r="23" spans="1:5" x14ac:dyDescent="0.2">
      <c r="A23" s="82"/>
      <c r="B23" s="27"/>
      <c r="C23" s="28"/>
      <c r="D23" s="29"/>
      <c r="E23" s="41"/>
    </row>
    <row r="24" spans="1:5" x14ac:dyDescent="0.2">
      <c r="A24" s="82" t="s">
        <v>271</v>
      </c>
      <c r="B24" s="19" t="s">
        <v>31</v>
      </c>
      <c r="C24" s="22">
        <v>2.78</v>
      </c>
      <c r="D24" s="5" t="s">
        <v>496</v>
      </c>
      <c r="E24" s="41"/>
    </row>
    <row r="25" spans="1:5" x14ac:dyDescent="0.2">
      <c r="A25" s="82" t="s">
        <v>272</v>
      </c>
      <c r="B25" s="3" t="s">
        <v>32</v>
      </c>
      <c r="C25" s="22">
        <v>2.78</v>
      </c>
      <c r="D25" s="5" t="s">
        <v>496</v>
      </c>
      <c r="E25" s="41"/>
    </row>
    <row r="26" spans="1:5" x14ac:dyDescent="0.2">
      <c r="A26" s="82" t="s">
        <v>273</v>
      </c>
      <c r="B26" s="3" t="s">
        <v>33</v>
      </c>
      <c r="C26" s="22">
        <v>2.78</v>
      </c>
      <c r="D26" s="5" t="s">
        <v>496</v>
      </c>
      <c r="E26" s="41"/>
    </row>
    <row r="27" spans="1:5" x14ac:dyDescent="0.2">
      <c r="A27" s="82" t="s">
        <v>274</v>
      </c>
      <c r="B27" s="3" t="s">
        <v>34</v>
      </c>
      <c r="C27" s="22">
        <v>2.78</v>
      </c>
      <c r="D27" s="5" t="s">
        <v>496</v>
      </c>
      <c r="E27" s="41"/>
    </row>
    <row r="28" spans="1:5" x14ac:dyDescent="0.2">
      <c r="A28" s="82" t="s">
        <v>275</v>
      </c>
      <c r="B28" s="3" t="s">
        <v>35</v>
      </c>
      <c r="C28" s="22">
        <v>2.78</v>
      </c>
      <c r="D28" s="5" t="s">
        <v>496</v>
      </c>
      <c r="E28" s="41"/>
    </row>
    <row r="29" spans="1:5" x14ac:dyDescent="0.2">
      <c r="A29" s="82" t="s">
        <v>276</v>
      </c>
      <c r="B29" s="18" t="s">
        <v>36</v>
      </c>
      <c r="C29" s="22">
        <v>2.78</v>
      </c>
      <c r="D29" s="5" t="s">
        <v>496</v>
      </c>
      <c r="E29" s="41"/>
    </row>
    <row r="30" spans="1:5" x14ac:dyDescent="0.2">
      <c r="A30" s="82" t="s">
        <v>364</v>
      </c>
      <c r="B30" s="18" t="s">
        <v>507</v>
      </c>
      <c r="C30" s="22">
        <v>2.78</v>
      </c>
      <c r="D30" s="5" t="s">
        <v>496</v>
      </c>
      <c r="E30" s="41"/>
    </row>
    <row r="31" spans="1:5" x14ac:dyDescent="0.2">
      <c r="A31" s="82"/>
      <c r="B31" s="27"/>
      <c r="C31" s="28"/>
      <c r="D31" s="29"/>
      <c r="E31" s="41"/>
    </row>
    <row r="32" spans="1:5" x14ac:dyDescent="0.2">
      <c r="A32" s="82" t="s">
        <v>277</v>
      </c>
      <c r="B32" s="19" t="s">
        <v>231</v>
      </c>
      <c r="C32" s="22">
        <v>3.82</v>
      </c>
      <c r="D32" s="5" t="s">
        <v>497</v>
      </c>
      <c r="E32" s="41"/>
    </row>
    <row r="33" spans="1:5" x14ac:dyDescent="0.2">
      <c r="A33" s="82" t="s">
        <v>232</v>
      </c>
      <c r="B33" s="3" t="s">
        <v>233</v>
      </c>
      <c r="C33" s="22">
        <v>3.82</v>
      </c>
      <c r="D33" s="5" t="s">
        <v>497</v>
      </c>
      <c r="E33" s="41"/>
    </row>
    <row r="34" spans="1:5" x14ac:dyDescent="0.2">
      <c r="A34" s="82" t="s">
        <v>234</v>
      </c>
      <c r="B34" s="3" t="s">
        <v>1123</v>
      </c>
      <c r="C34" s="22">
        <v>3.82</v>
      </c>
      <c r="D34" s="5" t="s">
        <v>497</v>
      </c>
      <c r="E34" s="41"/>
    </row>
    <row r="35" spans="1:5" x14ac:dyDescent="0.2">
      <c r="A35" s="82" t="s">
        <v>235</v>
      </c>
      <c r="B35" s="3" t="s">
        <v>236</v>
      </c>
      <c r="C35" s="22">
        <v>3.82</v>
      </c>
      <c r="D35" s="5" t="s">
        <v>497</v>
      </c>
      <c r="E35" s="41"/>
    </row>
    <row r="36" spans="1:5" x14ac:dyDescent="0.2">
      <c r="A36" s="82" t="s">
        <v>255</v>
      </c>
      <c r="B36" s="3" t="s">
        <v>237</v>
      </c>
      <c r="C36" s="22">
        <v>3.82</v>
      </c>
      <c r="D36" s="5" t="s">
        <v>497</v>
      </c>
      <c r="E36" s="41"/>
    </row>
    <row r="37" spans="1:5" x14ac:dyDescent="0.2">
      <c r="A37" s="82" t="s">
        <v>238</v>
      </c>
      <c r="B37" s="18" t="s">
        <v>239</v>
      </c>
      <c r="C37" s="22">
        <v>3.82</v>
      </c>
      <c r="D37" s="5" t="s">
        <v>497</v>
      </c>
      <c r="E37" s="41"/>
    </row>
    <row r="38" spans="1:5" x14ac:dyDescent="0.2">
      <c r="A38" s="82" t="s">
        <v>489</v>
      </c>
      <c r="B38" s="18" t="s">
        <v>508</v>
      </c>
      <c r="C38" s="22">
        <v>3.82</v>
      </c>
      <c r="D38" s="5" t="s">
        <v>497</v>
      </c>
      <c r="E38" s="41"/>
    </row>
    <row r="39" spans="1:5" x14ac:dyDescent="0.2">
      <c r="A39" s="82"/>
      <c r="B39" s="27"/>
      <c r="C39" s="28"/>
      <c r="D39" s="29"/>
      <c r="E39" s="41"/>
    </row>
    <row r="40" spans="1:5" x14ac:dyDescent="0.2">
      <c r="A40" s="82" t="s">
        <v>99</v>
      </c>
      <c r="B40" s="3" t="s">
        <v>376</v>
      </c>
      <c r="C40" s="22">
        <v>1.95</v>
      </c>
      <c r="D40" s="5" t="s">
        <v>496</v>
      </c>
      <c r="E40" s="41"/>
    </row>
    <row r="41" spans="1:5" x14ac:dyDescent="0.2">
      <c r="A41" s="82" t="s">
        <v>100</v>
      </c>
      <c r="B41" s="3" t="s">
        <v>377</v>
      </c>
      <c r="C41" s="22">
        <v>1.95</v>
      </c>
      <c r="D41" s="5" t="s">
        <v>496</v>
      </c>
      <c r="E41" s="41"/>
    </row>
    <row r="42" spans="1:5" x14ac:dyDescent="0.2">
      <c r="A42" s="82" t="s">
        <v>101</v>
      </c>
      <c r="B42" s="3" t="s">
        <v>378</v>
      </c>
      <c r="C42" s="22">
        <v>1.95</v>
      </c>
      <c r="D42" s="5" t="s">
        <v>496</v>
      </c>
      <c r="E42" s="41"/>
    </row>
    <row r="43" spans="1:5" x14ac:dyDescent="0.2">
      <c r="A43" s="82" t="s">
        <v>102</v>
      </c>
      <c r="B43" s="3" t="s">
        <v>379</v>
      </c>
      <c r="C43" s="22">
        <v>1.95</v>
      </c>
      <c r="D43" s="5" t="s">
        <v>496</v>
      </c>
      <c r="E43" s="41"/>
    </row>
    <row r="44" spans="1:5" x14ac:dyDescent="0.2">
      <c r="A44" s="82" t="s">
        <v>103</v>
      </c>
      <c r="B44" s="3" t="s">
        <v>380</v>
      </c>
      <c r="C44" s="22">
        <v>1.95</v>
      </c>
      <c r="D44" s="5" t="s">
        <v>496</v>
      </c>
      <c r="E44" s="41"/>
    </row>
    <row r="45" spans="1:5" x14ac:dyDescent="0.2">
      <c r="A45" s="82" t="s">
        <v>104</v>
      </c>
      <c r="B45" s="3" t="s">
        <v>381</v>
      </c>
      <c r="C45" s="22">
        <v>1.95</v>
      </c>
      <c r="D45" s="5" t="s">
        <v>496</v>
      </c>
      <c r="E45" s="41"/>
    </row>
    <row r="46" spans="1:5" x14ac:dyDescent="0.2">
      <c r="A46" s="82" t="s">
        <v>105</v>
      </c>
      <c r="B46" s="3" t="s">
        <v>382</v>
      </c>
      <c r="C46" s="22">
        <v>1.95</v>
      </c>
      <c r="D46" s="5" t="s">
        <v>496</v>
      </c>
      <c r="E46" s="41"/>
    </row>
    <row r="47" spans="1:5" x14ac:dyDescent="0.2">
      <c r="A47" s="82" t="s">
        <v>114</v>
      </c>
      <c r="B47" s="18" t="s">
        <v>383</v>
      </c>
      <c r="C47" s="22">
        <v>1.95</v>
      </c>
      <c r="D47" s="5" t="s">
        <v>496</v>
      </c>
      <c r="E47" s="41"/>
    </row>
    <row r="48" spans="1:5" x14ac:dyDescent="0.2">
      <c r="A48" s="82" t="s">
        <v>337</v>
      </c>
      <c r="B48" s="18" t="s">
        <v>509</v>
      </c>
      <c r="C48" s="22">
        <v>1.95</v>
      </c>
      <c r="D48" s="5" t="s">
        <v>496</v>
      </c>
      <c r="E48" s="41"/>
    </row>
    <row r="49" spans="1:5" x14ac:dyDescent="0.2">
      <c r="A49" s="82"/>
      <c r="B49" s="27"/>
      <c r="C49" s="28"/>
      <c r="D49" s="29"/>
      <c r="E49" s="41"/>
    </row>
    <row r="50" spans="1:5" x14ac:dyDescent="0.2">
      <c r="A50" s="82" t="s">
        <v>123</v>
      </c>
      <c r="B50" s="19" t="s">
        <v>384</v>
      </c>
      <c r="C50" s="30">
        <v>2.36</v>
      </c>
      <c r="D50" s="5" t="s">
        <v>498</v>
      </c>
      <c r="E50" s="41"/>
    </row>
    <row r="51" spans="1:5" x14ac:dyDescent="0.2">
      <c r="A51" s="82" t="s">
        <v>126</v>
      </c>
      <c r="B51" s="3" t="s">
        <v>385</v>
      </c>
      <c r="C51" s="30">
        <v>2.36</v>
      </c>
      <c r="D51" s="5" t="s">
        <v>498</v>
      </c>
      <c r="E51" s="41"/>
    </row>
    <row r="52" spans="1:5" x14ac:dyDescent="0.2">
      <c r="A52" s="82" t="s">
        <v>124</v>
      </c>
      <c r="B52" s="3" t="s">
        <v>386</v>
      </c>
      <c r="C52" s="30">
        <v>2.36</v>
      </c>
      <c r="D52" s="5" t="s">
        <v>498</v>
      </c>
      <c r="E52" s="41"/>
    </row>
    <row r="53" spans="1:5" x14ac:dyDescent="0.2">
      <c r="A53" s="82" t="s">
        <v>125</v>
      </c>
      <c r="B53" s="3" t="s">
        <v>387</v>
      </c>
      <c r="C53" s="30">
        <v>2.36</v>
      </c>
      <c r="D53" s="5" t="s">
        <v>498</v>
      </c>
      <c r="E53" s="41"/>
    </row>
    <row r="54" spans="1:5" x14ac:dyDescent="0.2">
      <c r="A54" s="82" t="s">
        <v>388</v>
      </c>
      <c r="B54" s="3" t="s">
        <v>360</v>
      </c>
      <c r="C54" s="30">
        <v>2.36</v>
      </c>
      <c r="D54" s="5" t="s">
        <v>498</v>
      </c>
      <c r="E54" s="41"/>
    </row>
    <row r="55" spans="1:5" x14ac:dyDescent="0.2">
      <c r="A55" s="82" t="s">
        <v>128</v>
      </c>
      <c r="B55" s="3" t="s">
        <v>389</v>
      </c>
      <c r="C55" s="30">
        <v>2.36</v>
      </c>
      <c r="D55" s="5" t="s">
        <v>498</v>
      </c>
      <c r="E55" s="41"/>
    </row>
    <row r="56" spans="1:5" x14ac:dyDescent="0.2">
      <c r="A56" s="82" t="s">
        <v>122</v>
      </c>
      <c r="B56" s="3" t="s">
        <v>390</v>
      </c>
      <c r="C56" s="30">
        <v>2.36</v>
      </c>
      <c r="D56" s="5" t="s">
        <v>498</v>
      </c>
      <c r="E56" s="41"/>
    </row>
    <row r="57" spans="1:5" x14ac:dyDescent="0.2">
      <c r="A57" s="82" t="s">
        <v>127</v>
      </c>
      <c r="B57" s="18" t="s">
        <v>391</v>
      </c>
      <c r="C57" s="30">
        <v>2.36</v>
      </c>
      <c r="D57" s="5" t="s">
        <v>498</v>
      </c>
      <c r="E57" s="41"/>
    </row>
    <row r="58" spans="1:5" x14ac:dyDescent="0.2">
      <c r="A58" s="82" t="s">
        <v>487</v>
      </c>
      <c r="B58" s="18" t="s">
        <v>510</v>
      </c>
      <c r="C58" s="30">
        <v>2.36</v>
      </c>
      <c r="D58" s="5" t="s">
        <v>498</v>
      </c>
      <c r="E58" s="41"/>
    </row>
    <row r="59" spans="1:5" x14ac:dyDescent="0.2">
      <c r="A59" s="82" t="s">
        <v>551</v>
      </c>
      <c r="B59" s="3" t="s">
        <v>552</v>
      </c>
      <c r="C59" s="30">
        <v>2.36</v>
      </c>
      <c r="D59" s="5" t="s">
        <v>498</v>
      </c>
      <c r="E59" s="41"/>
    </row>
    <row r="60" spans="1:5" x14ac:dyDescent="0.2">
      <c r="A60" s="82"/>
      <c r="B60" s="27"/>
      <c r="C60" s="31"/>
      <c r="D60" s="29"/>
      <c r="E60" s="41"/>
    </row>
    <row r="61" spans="1:5" x14ac:dyDescent="0.2">
      <c r="A61" s="82" t="s">
        <v>175</v>
      </c>
      <c r="B61" s="19" t="s">
        <v>392</v>
      </c>
      <c r="C61" s="22">
        <v>1.1399999999999999</v>
      </c>
      <c r="D61" s="5" t="s">
        <v>1241</v>
      </c>
      <c r="E61" s="41"/>
    </row>
    <row r="62" spans="1:5" x14ac:dyDescent="0.2">
      <c r="A62" s="82" t="s">
        <v>176</v>
      </c>
      <c r="B62" s="3" t="s">
        <v>393</v>
      </c>
      <c r="C62" s="22">
        <v>1.1399999999999999</v>
      </c>
      <c r="D62" s="5" t="s">
        <v>1241</v>
      </c>
      <c r="E62" s="41"/>
    </row>
    <row r="63" spans="1:5" x14ac:dyDescent="0.2">
      <c r="A63" s="82" t="s">
        <v>177</v>
      </c>
      <c r="B63" s="3" t="s">
        <v>394</v>
      </c>
      <c r="C63" s="22">
        <v>1.1399999999999999</v>
      </c>
      <c r="D63" s="5" t="s">
        <v>1241</v>
      </c>
      <c r="E63" s="41"/>
    </row>
    <row r="64" spans="1:5" x14ac:dyDescent="0.2">
      <c r="A64" s="82" t="s">
        <v>178</v>
      </c>
      <c r="B64" s="3" t="s">
        <v>395</v>
      </c>
      <c r="C64" s="22">
        <v>1.1399999999999999</v>
      </c>
      <c r="D64" s="5" t="s">
        <v>1241</v>
      </c>
      <c r="E64" s="41"/>
    </row>
    <row r="65" spans="1:5" x14ac:dyDescent="0.2">
      <c r="A65" s="82" t="s">
        <v>179</v>
      </c>
      <c r="B65" s="3" t="s">
        <v>396</v>
      </c>
      <c r="C65" s="22">
        <v>1.1399999999999999</v>
      </c>
      <c r="D65" s="5" t="s">
        <v>1241</v>
      </c>
      <c r="E65" s="41"/>
    </row>
    <row r="66" spans="1:5" x14ac:dyDescent="0.2">
      <c r="A66" s="82" t="s">
        <v>180</v>
      </c>
      <c r="B66" s="3" t="s">
        <v>397</v>
      </c>
      <c r="C66" s="22">
        <v>1.1399999999999999</v>
      </c>
      <c r="D66" s="5" t="s">
        <v>1241</v>
      </c>
      <c r="E66" s="41"/>
    </row>
    <row r="67" spans="1:5" x14ac:dyDescent="0.2">
      <c r="A67" s="82" t="s">
        <v>181</v>
      </c>
      <c r="B67" s="3" t="s">
        <v>398</v>
      </c>
      <c r="C67" s="22">
        <v>1.1399999999999999</v>
      </c>
      <c r="D67" s="5" t="s">
        <v>1241</v>
      </c>
      <c r="E67" s="41"/>
    </row>
    <row r="68" spans="1:5" x14ac:dyDescent="0.2">
      <c r="A68" s="82" t="s">
        <v>182</v>
      </c>
      <c r="B68" s="3" t="s">
        <v>399</v>
      </c>
      <c r="C68" s="22">
        <v>1.1399999999999999</v>
      </c>
      <c r="D68" s="5" t="s">
        <v>1241</v>
      </c>
      <c r="E68" s="41"/>
    </row>
    <row r="69" spans="1:5" x14ac:dyDescent="0.2">
      <c r="A69" s="82" t="s">
        <v>527</v>
      </c>
      <c r="B69" s="3" t="s">
        <v>528</v>
      </c>
      <c r="C69" s="22">
        <v>1.1399999999999999</v>
      </c>
      <c r="D69" s="5" t="s">
        <v>1241</v>
      </c>
      <c r="E69" s="41"/>
    </row>
    <row r="70" spans="1:5" x14ac:dyDescent="0.2">
      <c r="A70" s="82"/>
      <c r="B70" s="27"/>
      <c r="C70" s="28"/>
      <c r="D70" s="29"/>
      <c r="E70" s="41"/>
    </row>
    <row r="71" spans="1:5" x14ac:dyDescent="0.2">
      <c r="A71" s="82" t="s">
        <v>278</v>
      </c>
      <c r="B71" s="19" t="s">
        <v>37</v>
      </c>
      <c r="C71" s="22">
        <v>0.76</v>
      </c>
      <c r="D71" s="23" t="s">
        <v>499</v>
      </c>
      <c r="E71" s="41"/>
    </row>
    <row r="72" spans="1:5" x14ac:dyDescent="0.2">
      <c r="A72" s="82" t="s">
        <v>279</v>
      </c>
      <c r="B72" s="18" t="s">
        <v>38</v>
      </c>
      <c r="C72" s="22">
        <v>0.76</v>
      </c>
      <c r="D72" s="32" t="s">
        <v>499</v>
      </c>
      <c r="E72" s="41"/>
    </row>
    <row r="73" spans="1:5" x14ac:dyDescent="0.2">
      <c r="A73" s="82"/>
      <c r="B73" s="27"/>
      <c r="C73" s="28"/>
      <c r="D73" s="29"/>
      <c r="E73" s="41"/>
    </row>
    <row r="74" spans="1:5" x14ac:dyDescent="0.2">
      <c r="A74" s="82" t="s">
        <v>94</v>
      </c>
      <c r="B74" s="3" t="s">
        <v>400</v>
      </c>
      <c r="C74" s="22">
        <v>2.02</v>
      </c>
      <c r="D74" s="23" t="s">
        <v>500</v>
      </c>
      <c r="E74" s="41"/>
    </row>
    <row r="75" spans="1:5" x14ac:dyDescent="0.2">
      <c r="A75" s="82" t="s">
        <v>98</v>
      </c>
      <c r="B75" s="3" t="s">
        <v>401</v>
      </c>
      <c r="C75" s="22">
        <v>2.02</v>
      </c>
      <c r="D75" s="23" t="s">
        <v>500</v>
      </c>
      <c r="E75" s="41"/>
    </row>
    <row r="76" spans="1:5" x14ac:dyDescent="0.2">
      <c r="A76" s="82" t="s">
        <v>96</v>
      </c>
      <c r="B76" s="3" t="s">
        <v>402</v>
      </c>
      <c r="C76" s="22">
        <v>2.02</v>
      </c>
      <c r="D76" s="23" t="s">
        <v>500</v>
      </c>
      <c r="E76" s="41"/>
    </row>
    <row r="77" spans="1:5" x14ac:dyDescent="0.2">
      <c r="A77" s="82" t="s">
        <v>403</v>
      </c>
      <c r="B77" s="3" t="s">
        <v>404</v>
      </c>
      <c r="C77" s="22">
        <v>2.02</v>
      </c>
      <c r="D77" s="23" t="s">
        <v>500</v>
      </c>
      <c r="E77" s="41"/>
    </row>
    <row r="78" spans="1:5" x14ac:dyDescent="0.2">
      <c r="A78" s="82" t="s">
        <v>97</v>
      </c>
      <c r="B78" s="3" t="s">
        <v>405</v>
      </c>
      <c r="C78" s="22">
        <v>2.02</v>
      </c>
      <c r="D78" s="23" t="s">
        <v>500</v>
      </c>
      <c r="E78" s="41"/>
    </row>
    <row r="79" spans="1:5" x14ac:dyDescent="0.2">
      <c r="A79" s="82" t="s">
        <v>95</v>
      </c>
      <c r="B79" s="18" t="s">
        <v>406</v>
      </c>
      <c r="C79" s="22">
        <v>2.02</v>
      </c>
      <c r="D79" s="32" t="s">
        <v>500</v>
      </c>
      <c r="E79" s="41"/>
    </row>
    <row r="80" spans="1:5" x14ac:dyDescent="0.2">
      <c r="A80" s="82"/>
      <c r="B80" s="27"/>
      <c r="C80" s="28"/>
      <c r="D80" s="29"/>
      <c r="E80" s="41"/>
    </row>
    <row r="81" spans="1:5" ht="15" thickBot="1" x14ac:dyDescent="0.25">
      <c r="A81" s="82" t="s">
        <v>109</v>
      </c>
      <c r="B81" s="3" t="s">
        <v>407</v>
      </c>
      <c r="C81" s="33">
        <v>4.7</v>
      </c>
      <c r="D81" s="33" t="s">
        <v>501</v>
      </c>
      <c r="E81" s="41"/>
    </row>
    <row r="82" spans="1:5" ht="15" thickBot="1" x14ac:dyDescent="0.25">
      <c r="A82" s="82" t="s">
        <v>110</v>
      </c>
      <c r="B82" s="3" t="s">
        <v>408</v>
      </c>
      <c r="C82" s="33">
        <v>4.7</v>
      </c>
      <c r="D82" s="33" t="s">
        <v>501</v>
      </c>
      <c r="E82" s="41"/>
    </row>
    <row r="83" spans="1:5" ht="15" thickBot="1" x14ac:dyDescent="0.25">
      <c r="A83" s="82" t="s">
        <v>111</v>
      </c>
      <c r="B83" s="3" t="s">
        <v>409</v>
      </c>
      <c r="C83" s="33">
        <v>4.7</v>
      </c>
      <c r="D83" s="33" t="s">
        <v>501</v>
      </c>
      <c r="E83" s="41"/>
    </row>
    <row r="84" spans="1:5" ht="15" thickBot="1" x14ac:dyDescent="0.25">
      <c r="A84" s="82" t="s">
        <v>112</v>
      </c>
      <c r="B84" s="18" t="s">
        <v>240</v>
      </c>
      <c r="C84" s="33">
        <v>4.7</v>
      </c>
      <c r="D84" s="20" t="s">
        <v>501</v>
      </c>
      <c r="E84" s="41"/>
    </row>
    <row r="85" spans="1:5" x14ac:dyDescent="0.2">
      <c r="A85" s="82"/>
      <c r="B85" s="27"/>
      <c r="C85" s="28"/>
      <c r="D85" s="28"/>
      <c r="E85" s="41"/>
    </row>
    <row r="86" spans="1:5" x14ac:dyDescent="0.2">
      <c r="A86" s="82" t="s">
        <v>149</v>
      </c>
      <c r="B86" s="19" t="s">
        <v>150</v>
      </c>
      <c r="C86" s="22">
        <v>1.2</v>
      </c>
      <c r="D86" s="23" t="s">
        <v>1242</v>
      </c>
      <c r="E86" s="41"/>
    </row>
    <row r="87" spans="1:5" x14ac:dyDescent="0.2">
      <c r="A87" s="82" t="s">
        <v>148</v>
      </c>
      <c r="B87" s="3" t="s">
        <v>410</v>
      </c>
      <c r="C87" s="22">
        <v>1.2</v>
      </c>
      <c r="D87" s="23" t="s">
        <v>1242</v>
      </c>
      <c r="E87" s="41"/>
    </row>
    <row r="88" spans="1:5" x14ac:dyDescent="0.2">
      <c r="A88" s="82" t="s">
        <v>144</v>
      </c>
      <c r="B88" s="3" t="s">
        <v>241</v>
      </c>
      <c r="C88" s="22">
        <v>1.2</v>
      </c>
      <c r="D88" s="23" t="s">
        <v>1242</v>
      </c>
      <c r="E88" s="41"/>
    </row>
    <row r="89" spans="1:5" x14ac:dyDescent="0.2">
      <c r="A89" s="82" t="s">
        <v>145</v>
      </c>
      <c r="B89" s="3" t="s">
        <v>961</v>
      </c>
      <c r="C89" s="22">
        <v>1.2</v>
      </c>
      <c r="D89" s="23" t="s">
        <v>1242</v>
      </c>
      <c r="E89" s="41"/>
    </row>
    <row r="90" spans="1:5" x14ac:dyDescent="0.2">
      <c r="A90" s="82" t="s">
        <v>147</v>
      </c>
      <c r="B90" s="3" t="s">
        <v>242</v>
      </c>
      <c r="C90" s="22">
        <v>1.2</v>
      </c>
      <c r="D90" s="23" t="s">
        <v>1242</v>
      </c>
      <c r="E90" s="41"/>
    </row>
    <row r="91" spans="1:5" x14ac:dyDescent="0.2">
      <c r="A91" s="82" t="s">
        <v>146</v>
      </c>
      <c r="B91" s="3" t="s">
        <v>960</v>
      </c>
      <c r="C91" s="22">
        <v>1.2</v>
      </c>
      <c r="D91" s="23" t="s">
        <v>1242</v>
      </c>
      <c r="E91" s="41"/>
    </row>
    <row r="92" spans="1:5" x14ac:dyDescent="0.2">
      <c r="A92" s="82"/>
      <c r="B92" s="27"/>
      <c r="C92" s="28"/>
      <c r="D92" s="29"/>
      <c r="E92" s="41"/>
    </row>
    <row r="93" spans="1:5" x14ac:dyDescent="0.2">
      <c r="A93" s="82" t="s">
        <v>183</v>
      </c>
      <c r="B93" s="19" t="s">
        <v>184</v>
      </c>
      <c r="C93" s="12">
        <v>7.3</v>
      </c>
      <c r="D93" s="12" t="s">
        <v>502</v>
      </c>
      <c r="E93" s="41"/>
    </row>
    <row r="94" spans="1:5" x14ac:dyDescent="0.2">
      <c r="A94" s="82" t="s">
        <v>185</v>
      </c>
      <c r="B94" s="3" t="s">
        <v>186</v>
      </c>
      <c r="C94" s="12">
        <v>7.3</v>
      </c>
      <c r="D94" s="12" t="s">
        <v>502</v>
      </c>
      <c r="E94" s="41"/>
    </row>
    <row r="95" spans="1:5" x14ac:dyDescent="0.2">
      <c r="A95" s="82" t="s">
        <v>187</v>
      </c>
      <c r="B95" s="3" t="s">
        <v>188</v>
      </c>
      <c r="C95" s="12">
        <v>7.3</v>
      </c>
      <c r="D95" s="12" t="s">
        <v>502</v>
      </c>
      <c r="E95" s="41"/>
    </row>
    <row r="96" spans="1:5" x14ac:dyDescent="0.2">
      <c r="A96" s="82" t="s">
        <v>189</v>
      </c>
      <c r="B96" s="3" t="s">
        <v>190</v>
      </c>
      <c r="C96" s="12">
        <v>7.3</v>
      </c>
      <c r="D96" s="12" t="s">
        <v>502</v>
      </c>
      <c r="E96" s="41"/>
    </row>
    <row r="97" spans="1:5" x14ac:dyDescent="0.2">
      <c r="A97" s="82" t="s">
        <v>191</v>
      </c>
      <c r="B97" s="18" t="s">
        <v>192</v>
      </c>
      <c r="C97" s="12">
        <v>7.3</v>
      </c>
      <c r="D97" s="12" t="s">
        <v>502</v>
      </c>
      <c r="E97" s="41"/>
    </row>
    <row r="98" spans="1:5" x14ac:dyDescent="0.2">
      <c r="A98" s="82"/>
      <c r="B98" s="27"/>
      <c r="C98" s="34"/>
      <c r="D98" s="29"/>
      <c r="E98" s="41"/>
    </row>
    <row r="99" spans="1:5" x14ac:dyDescent="0.2">
      <c r="A99" s="82" t="s">
        <v>151</v>
      </c>
      <c r="B99" s="19" t="s">
        <v>982</v>
      </c>
      <c r="C99" s="22">
        <v>2.67</v>
      </c>
      <c r="D99" s="23" t="s">
        <v>503</v>
      </c>
      <c r="E99" s="41"/>
    </row>
    <row r="100" spans="1:5" x14ac:dyDescent="0.2">
      <c r="A100" s="82" t="s">
        <v>152</v>
      </c>
      <c r="B100" s="3" t="s">
        <v>153</v>
      </c>
      <c r="C100" s="22">
        <v>2.67</v>
      </c>
      <c r="D100" s="23" t="s">
        <v>503</v>
      </c>
      <c r="E100" s="41"/>
    </row>
    <row r="101" spans="1:5" x14ac:dyDescent="0.2">
      <c r="A101" s="82" t="s">
        <v>154</v>
      </c>
      <c r="B101" s="3" t="s">
        <v>983</v>
      </c>
      <c r="C101" s="22">
        <v>2.67</v>
      </c>
      <c r="D101" s="23" t="s">
        <v>503</v>
      </c>
      <c r="E101" s="41"/>
    </row>
    <row r="102" spans="1:5" x14ac:dyDescent="0.2">
      <c r="A102" s="82" t="s">
        <v>155</v>
      </c>
      <c r="B102" s="3" t="s">
        <v>156</v>
      </c>
      <c r="C102" s="22">
        <v>2.67</v>
      </c>
      <c r="D102" s="23" t="s">
        <v>503</v>
      </c>
      <c r="E102" s="41"/>
    </row>
    <row r="103" spans="1:5" x14ac:dyDescent="0.2">
      <c r="A103" s="82" t="s">
        <v>157</v>
      </c>
      <c r="B103" s="3" t="s">
        <v>158</v>
      </c>
      <c r="C103" s="22">
        <v>2.67</v>
      </c>
      <c r="D103" s="23" t="s">
        <v>503</v>
      </c>
      <c r="E103" s="41"/>
    </row>
    <row r="104" spans="1:5" x14ac:dyDescent="0.2">
      <c r="A104" s="82" t="s">
        <v>159</v>
      </c>
      <c r="B104" s="3" t="s">
        <v>160</v>
      </c>
      <c r="C104" s="22">
        <v>2.67</v>
      </c>
      <c r="D104" s="23" t="s">
        <v>503</v>
      </c>
      <c r="E104" s="41"/>
    </row>
    <row r="105" spans="1:5" x14ac:dyDescent="0.2">
      <c r="A105" s="82" t="s">
        <v>161</v>
      </c>
      <c r="B105" s="3" t="s">
        <v>162</v>
      </c>
      <c r="C105" s="22">
        <v>2.67</v>
      </c>
      <c r="D105" s="23" t="s">
        <v>503</v>
      </c>
      <c r="E105" s="41"/>
    </row>
    <row r="106" spans="1:5" x14ac:dyDescent="0.2">
      <c r="A106" s="82" t="s">
        <v>163</v>
      </c>
      <c r="B106" s="18" t="s">
        <v>164</v>
      </c>
      <c r="C106" s="22">
        <v>2.67</v>
      </c>
      <c r="D106" s="2" t="s">
        <v>503</v>
      </c>
      <c r="E106" s="41"/>
    </row>
    <row r="107" spans="1:5" x14ac:dyDescent="0.2">
      <c r="A107" s="82" t="s">
        <v>365</v>
      </c>
      <c r="B107" s="3" t="s">
        <v>504</v>
      </c>
      <c r="C107" s="22">
        <v>2.67</v>
      </c>
      <c r="D107" s="2" t="s">
        <v>503</v>
      </c>
      <c r="E107" s="41"/>
    </row>
    <row r="108" spans="1:5" x14ac:dyDescent="0.2">
      <c r="A108" s="82" t="s">
        <v>525</v>
      </c>
      <c r="B108" s="3" t="s">
        <v>526</v>
      </c>
      <c r="C108" s="22">
        <v>2.67</v>
      </c>
      <c r="D108" s="2" t="s">
        <v>503</v>
      </c>
      <c r="E108" s="41"/>
    </row>
    <row r="109" spans="1:5" x14ac:dyDescent="0.2">
      <c r="A109" s="82"/>
      <c r="B109" s="35"/>
      <c r="C109" s="36"/>
      <c r="D109" s="37"/>
      <c r="E109" s="41"/>
    </row>
    <row r="110" spans="1:5" x14ac:dyDescent="0.2">
      <c r="A110" s="107" t="s">
        <v>280</v>
      </c>
      <c r="B110" s="113" t="s">
        <v>39</v>
      </c>
      <c r="C110" s="114">
        <v>1.55</v>
      </c>
      <c r="D110" s="118" t="s">
        <v>512</v>
      </c>
      <c r="E110" s="41"/>
    </row>
    <row r="111" spans="1:5" x14ac:dyDescent="0.2">
      <c r="A111" s="107" t="s">
        <v>281</v>
      </c>
      <c r="B111" s="108" t="s">
        <v>40</v>
      </c>
      <c r="C111" s="114">
        <v>1.55</v>
      </c>
      <c r="D111" s="118" t="s">
        <v>512</v>
      </c>
      <c r="E111" s="41"/>
    </row>
    <row r="112" spans="1:5" x14ac:dyDescent="0.2">
      <c r="A112" s="107" t="s">
        <v>282</v>
      </c>
      <c r="B112" s="108" t="s">
        <v>41</v>
      </c>
      <c r="C112" s="114">
        <v>1.55</v>
      </c>
      <c r="D112" s="118" t="s">
        <v>512</v>
      </c>
      <c r="E112" s="41"/>
    </row>
    <row r="113" spans="1:5" x14ac:dyDescent="0.2">
      <c r="A113" s="107" t="s">
        <v>283</v>
      </c>
      <c r="B113" s="108" t="s">
        <v>411</v>
      </c>
      <c r="C113" s="114">
        <v>1.55</v>
      </c>
      <c r="D113" s="118" t="s">
        <v>512</v>
      </c>
      <c r="E113" s="41"/>
    </row>
    <row r="114" spans="1:5" x14ac:dyDescent="0.2">
      <c r="A114" s="107" t="s">
        <v>284</v>
      </c>
      <c r="B114" s="108" t="s">
        <v>505</v>
      </c>
      <c r="C114" s="114">
        <v>1.55</v>
      </c>
      <c r="D114" s="118" t="s">
        <v>512</v>
      </c>
      <c r="E114" s="41"/>
    </row>
    <row r="115" spans="1:5" x14ac:dyDescent="0.2">
      <c r="A115" s="107" t="s">
        <v>285</v>
      </c>
      <c r="B115" s="108" t="s">
        <v>42</v>
      </c>
      <c r="C115" s="114">
        <v>1.55</v>
      </c>
      <c r="D115" s="118" t="s">
        <v>512</v>
      </c>
      <c r="E115" s="41"/>
    </row>
    <row r="116" spans="1:5" x14ac:dyDescent="0.2">
      <c r="A116" s="107" t="s">
        <v>286</v>
      </c>
      <c r="B116" s="108" t="s">
        <v>43</v>
      </c>
      <c r="C116" s="114">
        <v>1.55</v>
      </c>
      <c r="D116" s="118" t="s">
        <v>512</v>
      </c>
      <c r="E116" s="41"/>
    </row>
    <row r="117" spans="1:5" x14ac:dyDescent="0.2">
      <c r="A117" s="107" t="s">
        <v>287</v>
      </c>
      <c r="B117" s="108" t="s">
        <v>44</v>
      </c>
      <c r="C117" s="114">
        <v>1.55</v>
      </c>
      <c r="D117" s="118" t="s">
        <v>512</v>
      </c>
      <c r="E117" s="41"/>
    </row>
    <row r="118" spans="1:5" x14ac:dyDescent="0.2">
      <c r="A118" s="107" t="s">
        <v>288</v>
      </c>
      <c r="B118" s="108" t="s">
        <v>45</v>
      </c>
      <c r="C118" s="114">
        <v>1.55</v>
      </c>
      <c r="D118" s="118" t="s">
        <v>512</v>
      </c>
      <c r="E118" s="41"/>
    </row>
    <row r="119" spans="1:5" x14ac:dyDescent="0.2">
      <c r="A119" s="107" t="s">
        <v>289</v>
      </c>
      <c r="B119" s="108" t="s">
        <v>46</v>
      </c>
      <c r="C119" s="114">
        <v>1.55</v>
      </c>
      <c r="D119" s="118" t="s">
        <v>512</v>
      </c>
      <c r="E119" s="41"/>
    </row>
    <row r="120" spans="1:5" x14ac:dyDescent="0.2">
      <c r="A120" s="107" t="s">
        <v>290</v>
      </c>
      <c r="B120" s="108" t="s">
        <v>47</v>
      </c>
      <c r="C120" s="114">
        <v>1.55</v>
      </c>
      <c r="D120" s="118" t="s">
        <v>512</v>
      </c>
      <c r="E120" s="41"/>
    </row>
    <row r="121" spans="1:5" x14ac:dyDescent="0.2">
      <c r="A121" s="107" t="s">
        <v>291</v>
      </c>
      <c r="B121" s="119" t="s">
        <v>48</v>
      </c>
      <c r="C121" s="114">
        <v>1.55</v>
      </c>
      <c r="D121" s="118" t="s">
        <v>512</v>
      </c>
      <c r="E121" s="41"/>
    </row>
    <row r="122" spans="1:5" x14ac:dyDescent="0.2">
      <c r="A122" s="82"/>
      <c r="B122" s="27"/>
      <c r="C122" s="28"/>
      <c r="D122" s="29"/>
      <c r="E122" s="41"/>
    </row>
    <row r="123" spans="1:5" x14ac:dyDescent="0.2">
      <c r="A123" s="82" t="s">
        <v>412</v>
      </c>
      <c r="B123" s="3" t="s">
        <v>413</v>
      </c>
      <c r="C123" s="22">
        <v>1.37</v>
      </c>
      <c r="D123" s="23" t="s">
        <v>511</v>
      </c>
      <c r="E123" s="41"/>
    </row>
    <row r="124" spans="1:5" x14ac:dyDescent="0.2">
      <c r="A124" s="82" t="s">
        <v>414</v>
      </c>
      <c r="B124" s="3" t="s">
        <v>415</v>
      </c>
      <c r="C124" s="22">
        <v>1.37</v>
      </c>
      <c r="D124" s="23" t="s">
        <v>511</v>
      </c>
      <c r="E124" s="41"/>
    </row>
    <row r="125" spans="1:5" x14ac:dyDescent="0.2">
      <c r="A125" s="106" t="s">
        <v>416</v>
      </c>
      <c r="B125" s="18" t="s">
        <v>417</v>
      </c>
      <c r="C125" s="22">
        <v>1.37</v>
      </c>
      <c r="D125" s="2" t="s">
        <v>511</v>
      </c>
      <c r="E125" s="41"/>
    </row>
    <row r="126" spans="1:5" x14ac:dyDescent="0.2">
      <c r="A126" s="2" t="s">
        <v>975</v>
      </c>
      <c r="B126" s="18" t="s">
        <v>976</v>
      </c>
      <c r="C126" s="22">
        <v>1.37</v>
      </c>
      <c r="D126" s="2" t="s">
        <v>511</v>
      </c>
      <c r="E126" s="41"/>
    </row>
    <row r="127" spans="1:5" x14ac:dyDescent="0.2">
      <c r="A127" s="2" t="s">
        <v>979</v>
      </c>
      <c r="B127" s="18" t="s">
        <v>977</v>
      </c>
      <c r="C127" s="22">
        <v>1.37</v>
      </c>
      <c r="D127" s="2" t="s">
        <v>511</v>
      </c>
      <c r="E127" s="41"/>
    </row>
    <row r="128" spans="1:5" x14ac:dyDescent="0.2">
      <c r="A128" s="2" t="s">
        <v>980</v>
      </c>
      <c r="B128" s="18" t="s">
        <v>978</v>
      </c>
      <c r="C128" s="22">
        <v>1.37</v>
      </c>
      <c r="D128" s="2" t="s">
        <v>511</v>
      </c>
      <c r="E128" s="41"/>
    </row>
    <row r="129" spans="1:5" x14ac:dyDescent="0.2">
      <c r="A129" s="82"/>
      <c r="B129" s="27"/>
      <c r="C129" s="28"/>
      <c r="D129" s="29"/>
      <c r="E129" s="41"/>
    </row>
    <row r="130" spans="1:5" x14ac:dyDescent="0.2">
      <c r="A130" s="107" t="s">
        <v>129</v>
      </c>
      <c r="B130" s="113" t="s">
        <v>958</v>
      </c>
      <c r="C130" s="114">
        <v>1.57</v>
      </c>
      <c r="D130" s="115" t="s">
        <v>512</v>
      </c>
      <c r="E130" s="41"/>
    </row>
    <row r="131" spans="1:5" x14ac:dyDescent="0.2">
      <c r="A131" s="107" t="s">
        <v>130</v>
      </c>
      <c r="B131" s="108" t="s">
        <v>243</v>
      </c>
      <c r="C131" s="114">
        <v>1.57</v>
      </c>
      <c r="D131" s="116" t="s">
        <v>512</v>
      </c>
      <c r="E131" s="41"/>
    </row>
    <row r="132" spans="1:5" x14ac:dyDescent="0.2">
      <c r="A132" s="107" t="s">
        <v>131</v>
      </c>
      <c r="B132" s="108" t="s">
        <v>959</v>
      </c>
      <c r="C132" s="114">
        <v>1.57</v>
      </c>
      <c r="D132" s="116" t="s">
        <v>512</v>
      </c>
      <c r="E132" s="41"/>
    </row>
    <row r="133" spans="1:5" x14ac:dyDescent="0.2">
      <c r="A133" s="107" t="s">
        <v>132</v>
      </c>
      <c r="B133" s="108" t="s">
        <v>244</v>
      </c>
      <c r="C133" s="114">
        <v>1.57</v>
      </c>
      <c r="D133" s="116" t="s">
        <v>512</v>
      </c>
      <c r="E133" s="41"/>
    </row>
    <row r="134" spans="1:5" x14ac:dyDescent="0.2">
      <c r="A134" s="107" t="s">
        <v>133</v>
      </c>
      <c r="B134" s="108" t="s">
        <v>245</v>
      </c>
      <c r="C134" s="114">
        <v>1.57</v>
      </c>
      <c r="D134" s="116" t="s">
        <v>512</v>
      </c>
      <c r="E134" s="41"/>
    </row>
    <row r="135" spans="1:5" x14ac:dyDescent="0.2">
      <c r="A135" s="107" t="s">
        <v>134</v>
      </c>
      <c r="B135" s="108" t="s">
        <v>135</v>
      </c>
      <c r="C135" s="114">
        <v>1.57</v>
      </c>
      <c r="D135" s="116" t="s">
        <v>512</v>
      </c>
      <c r="E135" s="41"/>
    </row>
    <row r="136" spans="1:5" x14ac:dyDescent="0.2">
      <c r="A136" s="107" t="s">
        <v>136</v>
      </c>
      <c r="B136" s="108" t="s">
        <v>137</v>
      </c>
      <c r="C136" s="114">
        <v>1.57</v>
      </c>
      <c r="D136" s="116" t="s">
        <v>512</v>
      </c>
      <c r="E136" s="41"/>
    </row>
    <row r="137" spans="1:5" x14ac:dyDescent="0.2">
      <c r="A137" s="107" t="s">
        <v>138</v>
      </c>
      <c r="B137" s="108" t="s">
        <v>139</v>
      </c>
      <c r="C137" s="114">
        <v>1.57</v>
      </c>
      <c r="D137" s="116" t="s">
        <v>512</v>
      </c>
      <c r="E137" s="41"/>
    </row>
    <row r="138" spans="1:5" x14ac:dyDescent="0.2">
      <c r="A138" s="107" t="s">
        <v>140</v>
      </c>
      <c r="B138" s="108" t="s">
        <v>141</v>
      </c>
      <c r="C138" s="114">
        <v>1.57</v>
      </c>
      <c r="D138" s="116" t="s">
        <v>512</v>
      </c>
      <c r="E138" s="41"/>
    </row>
    <row r="139" spans="1:5" x14ac:dyDescent="0.2">
      <c r="A139" s="107" t="s">
        <v>142</v>
      </c>
      <c r="B139" s="108" t="s">
        <v>143</v>
      </c>
      <c r="C139" s="114">
        <v>1.57</v>
      </c>
      <c r="D139" s="116" t="s">
        <v>512</v>
      </c>
      <c r="E139" s="41"/>
    </row>
    <row r="140" spans="1:5" x14ac:dyDescent="0.2">
      <c r="A140" s="82"/>
      <c r="B140" s="3"/>
      <c r="C140" s="22"/>
      <c r="D140" s="23"/>
      <c r="E140" s="41"/>
    </row>
    <row r="141" spans="1:5" x14ac:dyDescent="0.2">
      <c r="A141" s="107" t="s">
        <v>984</v>
      </c>
      <c r="B141" s="108" t="s">
        <v>992</v>
      </c>
      <c r="C141" s="22">
        <v>1.68</v>
      </c>
      <c r="D141" s="23" t="s">
        <v>993</v>
      </c>
      <c r="E141" s="41"/>
    </row>
    <row r="142" spans="1:5" x14ac:dyDescent="0.2">
      <c r="A142" s="107" t="s">
        <v>985</v>
      </c>
      <c r="B142" s="108" t="s">
        <v>981</v>
      </c>
      <c r="C142" s="22">
        <v>1.68</v>
      </c>
      <c r="D142" s="23" t="s">
        <v>993</v>
      </c>
      <c r="E142" s="41"/>
    </row>
    <row r="143" spans="1:5" x14ac:dyDescent="0.2">
      <c r="A143" s="107" t="s">
        <v>986</v>
      </c>
      <c r="B143" s="108" t="s">
        <v>990</v>
      </c>
      <c r="C143" s="22">
        <v>1.68</v>
      </c>
      <c r="D143" s="23" t="s">
        <v>993</v>
      </c>
      <c r="E143" s="41"/>
    </row>
    <row r="144" spans="1:5" x14ac:dyDescent="0.2">
      <c r="A144" s="107" t="s">
        <v>987</v>
      </c>
      <c r="B144" s="108" t="s">
        <v>991</v>
      </c>
      <c r="C144" s="22">
        <v>1.68</v>
      </c>
      <c r="D144" s="23" t="s">
        <v>993</v>
      </c>
      <c r="E144" s="41"/>
    </row>
    <row r="145" spans="1:10" ht="15" x14ac:dyDescent="0.25">
      <c r="A145" s="107" t="s">
        <v>988</v>
      </c>
      <c r="B145" s="108" t="s">
        <v>994</v>
      </c>
      <c r="C145" s="22">
        <v>1.68</v>
      </c>
      <c r="D145" s="23" t="s">
        <v>993</v>
      </c>
      <c r="E145" s="41"/>
      <c r="G145" s="8"/>
      <c r="I145" s="7"/>
      <c r="J145" s="7"/>
    </row>
    <row r="146" spans="1:10" ht="15" x14ac:dyDescent="0.25">
      <c r="A146" s="107" t="s">
        <v>989</v>
      </c>
      <c r="B146" s="108" t="s">
        <v>995</v>
      </c>
      <c r="C146" s="22">
        <v>1.68</v>
      </c>
      <c r="D146" s="23" t="s">
        <v>993</v>
      </c>
      <c r="E146" s="41"/>
      <c r="G146" s="6"/>
      <c r="H146" s="6"/>
      <c r="I146" s="7"/>
      <c r="J146" s="7"/>
    </row>
    <row r="147" spans="1:10" ht="15" x14ac:dyDescent="0.25">
      <c r="A147" s="82"/>
      <c r="B147" s="3"/>
      <c r="C147" s="12"/>
      <c r="D147" s="2"/>
      <c r="E147" s="41"/>
      <c r="G147" s="6"/>
      <c r="H147" s="6"/>
      <c r="I147" s="7"/>
      <c r="J147" s="7"/>
    </row>
    <row r="148" spans="1:10" ht="15" x14ac:dyDescent="0.25">
      <c r="A148" s="82" t="s">
        <v>996</v>
      </c>
      <c r="B148" s="3" t="s">
        <v>1002</v>
      </c>
      <c r="C148" s="12">
        <v>1.2</v>
      </c>
      <c r="D148" s="2" t="s">
        <v>1243</v>
      </c>
      <c r="E148" s="41"/>
      <c r="G148" s="6"/>
      <c r="H148" s="6"/>
      <c r="I148" s="7"/>
      <c r="J148" s="7"/>
    </row>
    <row r="149" spans="1:10" ht="15" x14ac:dyDescent="0.25">
      <c r="A149" s="82" t="s">
        <v>997</v>
      </c>
      <c r="B149" s="3" t="s">
        <v>1003</v>
      </c>
      <c r="C149" s="12">
        <v>1.2</v>
      </c>
      <c r="D149" s="2" t="s">
        <v>1243</v>
      </c>
      <c r="E149" s="41"/>
      <c r="G149" s="6"/>
      <c r="H149" s="6"/>
      <c r="I149" s="7"/>
      <c r="J149" s="7"/>
    </row>
    <row r="150" spans="1:10" ht="15" x14ac:dyDescent="0.25">
      <c r="A150" s="82" t="s">
        <v>998</v>
      </c>
      <c r="B150" s="3" t="s">
        <v>1004</v>
      </c>
      <c r="C150" s="12">
        <v>1.2</v>
      </c>
      <c r="D150" s="2" t="s">
        <v>1243</v>
      </c>
      <c r="E150" s="41"/>
      <c r="G150" s="6"/>
      <c r="H150" s="6"/>
      <c r="I150" s="7"/>
      <c r="J150" s="7"/>
    </row>
    <row r="151" spans="1:10" ht="15" x14ac:dyDescent="0.25">
      <c r="A151" s="82" t="s">
        <v>999</v>
      </c>
      <c r="B151" s="3" t="s">
        <v>1005</v>
      </c>
      <c r="C151" s="12">
        <v>1.2</v>
      </c>
      <c r="D151" s="2" t="s">
        <v>1243</v>
      </c>
      <c r="E151" s="41"/>
      <c r="G151" s="6"/>
      <c r="H151" s="6"/>
      <c r="I151" s="7"/>
      <c r="J151" s="7"/>
    </row>
    <row r="152" spans="1:10" ht="15" x14ac:dyDescent="0.25">
      <c r="A152" s="82" t="s">
        <v>1000</v>
      </c>
      <c r="B152" s="3" t="s">
        <v>1006</v>
      </c>
      <c r="C152" s="12">
        <v>1.2</v>
      </c>
      <c r="D152" s="2" t="s">
        <v>1243</v>
      </c>
      <c r="E152" s="41"/>
      <c r="G152" s="6"/>
      <c r="H152" s="6"/>
      <c r="I152" s="7"/>
      <c r="J152" s="7"/>
    </row>
    <row r="153" spans="1:10" ht="15" x14ac:dyDescent="0.25">
      <c r="A153" s="82" t="s">
        <v>1001</v>
      </c>
      <c r="B153" s="3" t="s">
        <v>1007</v>
      </c>
      <c r="C153" s="12">
        <v>1.2</v>
      </c>
      <c r="D153" s="2" t="s">
        <v>1243</v>
      </c>
      <c r="E153" s="41"/>
      <c r="G153" s="6"/>
      <c r="H153" s="6"/>
      <c r="I153" s="7"/>
      <c r="J153" s="7"/>
    </row>
    <row r="154" spans="1:10" ht="15" x14ac:dyDescent="0.25">
      <c r="A154" s="82"/>
      <c r="B154" s="3"/>
      <c r="C154" s="12"/>
      <c r="D154" s="2"/>
      <c r="E154" s="41"/>
      <c r="G154" s="6"/>
      <c r="H154" s="6"/>
      <c r="I154" s="7"/>
      <c r="J154" s="7"/>
    </row>
    <row r="155" spans="1:10" ht="15" x14ac:dyDescent="0.25">
      <c r="A155" s="82" t="s">
        <v>1008</v>
      </c>
      <c r="B155" s="3" t="s">
        <v>1014</v>
      </c>
      <c r="C155" s="12">
        <v>1.1299999999999999</v>
      </c>
      <c r="D155" s="2" t="s">
        <v>1020</v>
      </c>
      <c r="E155" s="41"/>
      <c r="G155" s="6"/>
      <c r="H155" s="6"/>
      <c r="I155" s="7"/>
      <c r="J155" s="7"/>
    </row>
    <row r="156" spans="1:10" ht="15" x14ac:dyDescent="0.25">
      <c r="A156" s="82" t="s">
        <v>1009</v>
      </c>
      <c r="B156" s="3" t="s">
        <v>1015</v>
      </c>
      <c r="C156" s="12">
        <v>1.1299999999999999</v>
      </c>
      <c r="D156" s="2" t="s">
        <v>1020</v>
      </c>
      <c r="E156" s="41"/>
      <c r="G156" s="6"/>
      <c r="H156" s="6"/>
      <c r="I156" s="7"/>
      <c r="J156" s="7"/>
    </row>
    <row r="157" spans="1:10" ht="15" x14ac:dyDescent="0.25">
      <c r="A157" s="82" t="s">
        <v>1010</v>
      </c>
      <c r="B157" s="3" t="s">
        <v>1016</v>
      </c>
      <c r="C157" s="12">
        <v>1.1299999999999999</v>
      </c>
      <c r="D157" s="2" t="s">
        <v>1020</v>
      </c>
      <c r="E157" s="41"/>
      <c r="G157" s="6"/>
      <c r="H157" s="6"/>
      <c r="I157" s="7"/>
      <c r="J157" s="7"/>
    </row>
    <row r="158" spans="1:10" ht="15" x14ac:dyDescent="0.25">
      <c r="A158" s="82" t="s">
        <v>1011</v>
      </c>
      <c r="B158" s="3" t="s">
        <v>1017</v>
      </c>
      <c r="C158" s="12">
        <v>1.1299999999999999</v>
      </c>
      <c r="D158" s="2" t="s">
        <v>1020</v>
      </c>
      <c r="E158" s="41"/>
      <c r="G158" s="6"/>
      <c r="H158" s="6"/>
      <c r="I158" s="7"/>
      <c r="J158" s="7"/>
    </row>
    <row r="159" spans="1:10" ht="15" x14ac:dyDescent="0.25">
      <c r="A159" s="82" t="s">
        <v>1012</v>
      </c>
      <c r="B159" s="3" t="s">
        <v>1018</v>
      </c>
      <c r="C159" s="12">
        <v>1.1299999999999999</v>
      </c>
      <c r="D159" s="2" t="s">
        <v>1020</v>
      </c>
      <c r="E159" s="41"/>
      <c r="G159" s="6"/>
      <c r="H159" s="6"/>
      <c r="I159" s="7"/>
      <c r="J159" s="7"/>
    </row>
    <row r="160" spans="1:10" ht="15" x14ac:dyDescent="0.25">
      <c r="A160" s="82" t="s">
        <v>1013</v>
      </c>
      <c r="B160" s="3" t="s">
        <v>1019</v>
      </c>
      <c r="C160" s="12">
        <v>1.1299999999999999</v>
      </c>
      <c r="D160" s="2" t="s">
        <v>1020</v>
      </c>
      <c r="E160" s="41"/>
      <c r="G160" s="6"/>
      <c r="H160" s="6"/>
      <c r="I160" s="7"/>
      <c r="J160" s="7"/>
    </row>
    <row r="161" spans="1:10" ht="15" x14ac:dyDescent="0.25">
      <c r="A161" s="82"/>
      <c r="B161" s="3"/>
      <c r="C161" s="12"/>
      <c r="D161" s="2"/>
      <c r="E161" s="41"/>
      <c r="G161" s="6"/>
      <c r="H161" s="6"/>
      <c r="I161" s="7"/>
      <c r="J161" s="7"/>
    </row>
    <row r="162" spans="1:10" ht="15" x14ac:dyDescent="0.25">
      <c r="A162" s="82" t="s">
        <v>1052</v>
      </c>
      <c r="B162" s="3" t="s">
        <v>1057</v>
      </c>
      <c r="C162" s="12">
        <v>1.04</v>
      </c>
      <c r="D162" s="2" t="s">
        <v>1062</v>
      </c>
      <c r="E162" s="41"/>
      <c r="G162" s="6"/>
      <c r="H162" s="6"/>
      <c r="I162" s="7"/>
      <c r="J162" s="7"/>
    </row>
    <row r="163" spans="1:10" ht="15" x14ac:dyDescent="0.25">
      <c r="A163" s="82" t="s">
        <v>1053</v>
      </c>
      <c r="B163" s="3" t="s">
        <v>1058</v>
      </c>
      <c r="C163" s="12">
        <v>1.04</v>
      </c>
      <c r="D163" s="2" t="s">
        <v>1062</v>
      </c>
      <c r="E163" s="41"/>
      <c r="G163" s="6"/>
      <c r="H163" s="6"/>
      <c r="I163" s="7"/>
      <c r="J163" s="7"/>
    </row>
    <row r="164" spans="1:10" ht="15" x14ac:dyDescent="0.25">
      <c r="A164" s="82" t="s">
        <v>1054</v>
      </c>
      <c r="B164" s="3" t="s">
        <v>1059</v>
      </c>
      <c r="C164" s="12">
        <v>1.04</v>
      </c>
      <c r="D164" s="2" t="s">
        <v>1062</v>
      </c>
      <c r="E164" s="41"/>
      <c r="G164" s="6"/>
      <c r="H164" s="6"/>
      <c r="I164" s="7"/>
      <c r="J164" s="7"/>
    </row>
    <row r="165" spans="1:10" ht="15" x14ac:dyDescent="0.25">
      <c r="A165" s="82" t="s">
        <v>1055</v>
      </c>
      <c r="B165" s="3" t="s">
        <v>1060</v>
      </c>
      <c r="C165" s="12">
        <v>1.04</v>
      </c>
      <c r="D165" s="2" t="s">
        <v>1062</v>
      </c>
      <c r="E165" s="41"/>
      <c r="G165" s="6"/>
      <c r="H165" s="6"/>
      <c r="I165" s="7"/>
      <c r="J165" s="7"/>
    </row>
    <row r="166" spans="1:10" ht="15" x14ac:dyDescent="0.25">
      <c r="A166" s="82" t="s">
        <v>1056</v>
      </c>
      <c r="B166" s="3" t="s">
        <v>1061</v>
      </c>
      <c r="C166" s="12">
        <v>1.04</v>
      </c>
      <c r="D166" s="2" t="s">
        <v>1062</v>
      </c>
      <c r="E166" s="41"/>
      <c r="G166" s="6"/>
      <c r="H166" s="6"/>
      <c r="I166" s="7"/>
      <c r="J166" s="7"/>
    </row>
    <row r="167" spans="1:10" ht="15" x14ac:dyDescent="0.25">
      <c r="A167" s="82"/>
      <c r="B167" s="3"/>
      <c r="C167" s="12"/>
      <c r="D167" s="2"/>
      <c r="E167" s="41"/>
      <c r="G167" s="6"/>
      <c r="H167" s="6"/>
      <c r="I167" s="7"/>
      <c r="J167" s="7"/>
    </row>
    <row r="168" spans="1:10" ht="15" x14ac:dyDescent="0.25">
      <c r="A168" s="82" t="s">
        <v>1124</v>
      </c>
      <c r="B168" s="3" t="s">
        <v>1136</v>
      </c>
      <c r="C168" s="12">
        <v>1.22</v>
      </c>
      <c r="D168" s="2" t="s">
        <v>1148</v>
      </c>
      <c r="E168" s="41"/>
      <c r="G168" s="6"/>
      <c r="H168" s="6"/>
      <c r="I168" s="7"/>
      <c r="J168" s="7"/>
    </row>
    <row r="169" spans="1:10" ht="15" x14ac:dyDescent="0.25">
      <c r="A169" s="82" t="s">
        <v>1125</v>
      </c>
      <c r="B169" s="3" t="s">
        <v>1137</v>
      </c>
      <c r="C169" s="12">
        <v>1.22</v>
      </c>
      <c r="D169" s="2" t="s">
        <v>1148</v>
      </c>
      <c r="E169" s="41"/>
      <c r="G169" s="6"/>
      <c r="H169" s="6"/>
      <c r="I169" s="7"/>
      <c r="J169" s="7"/>
    </row>
    <row r="170" spans="1:10" ht="15" x14ac:dyDescent="0.25">
      <c r="A170" s="82" t="s">
        <v>1126</v>
      </c>
      <c r="B170" s="3" t="s">
        <v>1138</v>
      </c>
      <c r="C170" s="12">
        <v>1.22</v>
      </c>
      <c r="D170" s="2" t="s">
        <v>1148</v>
      </c>
      <c r="E170" s="41"/>
      <c r="G170" s="6"/>
      <c r="H170" s="6"/>
      <c r="I170" s="7"/>
      <c r="J170" s="7"/>
    </row>
    <row r="171" spans="1:10" ht="15" x14ac:dyDescent="0.25">
      <c r="A171" s="107" t="s">
        <v>1127</v>
      </c>
      <c r="B171" s="108" t="s">
        <v>1139</v>
      </c>
      <c r="C171" s="12">
        <v>1.22</v>
      </c>
      <c r="D171" s="116" t="s">
        <v>1148</v>
      </c>
      <c r="E171" s="41"/>
      <c r="G171" s="6"/>
      <c r="H171" s="6"/>
      <c r="I171" s="7"/>
      <c r="J171" s="7"/>
    </row>
    <row r="172" spans="1:10" ht="15" x14ac:dyDescent="0.25">
      <c r="A172" s="82" t="s">
        <v>1128</v>
      </c>
      <c r="B172" s="3" t="s">
        <v>1140</v>
      </c>
      <c r="C172" s="12">
        <v>1.22</v>
      </c>
      <c r="D172" s="2" t="s">
        <v>1148</v>
      </c>
      <c r="E172" s="41"/>
      <c r="G172" s="6"/>
      <c r="H172" s="6"/>
      <c r="I172" s="7"/>
      <c r="J172" s="7"/>
    </row>
    <row r="173" spans="1:10" ht="15" x14ac:dyDescent="0.25">
      <c r="A173" s="82" t="s">
        <v>1199</v>
      </c>
      <c r="B173" s="3" t="s">
        <v>1200</v>
      </c>
      <c r="C173" s="12">
        <v>1.22</v>
      </c>
      <c r="D173" s="2" t="s">
        <v>1148</v>
      </c>
      <c r="E173" s="41"/>
      <c r="G173" s="6"/>
      <c r="H173" s="6"/>
      <c r="I173" s="7"/>
      <c r="J173" s="7"/>
    </row>
    <row r="174" spans="1:10" ht="15" x14ac:dyDescent="0.25">
      <c r="A174" s="82" t="s">
        <v>1129</v>
      </c>
      <c r="B174" s="3" t="s">
        <v>1141</v>
      </c>
      <c r="C174" s="12">
        <v>1.22</v>
      </c>
      <c r="D174" s="2" t="s">
        <v>1148</v>
      </c>
      <c r="E174" s="41"/>
      <c r="G174" s="6"/>
      <c r="H174" s="6"/>
      <c r="I174" s="7"/>
      <c r="J174" s="7"/>
    </row>
    <row r="175" spans="1:10" ht="15" x14ac:dyDescent="0.25">
      <c r="A175" s="82" t="s">
        <v>1130</v>
      </c>
      <c r="B175" s="3" t="s">
        <v>1142</v>
      </c>
      <c r="C175" s="12">
        <v>1.22</v>
      </c>
      <c r="D175" s="2" t="s">
        <v>1148</v>
      </c>
      <c r="E175" s="41"/>
      <c r="G175" s="6"/>
      <c r="H175" s="6"/>
      <c r="I175" s="7"/>
      <c r="J175" s="7"/>
    </row>
    <row r="176" spans="1:10" ht="15" x14ac:dyDescent="0.25">
      <c r="A176" s="82" t="s">
        <v>1131</v>
      </c>
      <c r="B176" s="3" t="s">
        <v>1143</v>
      </c>
      <c r="C176" s="12">
        <v>1.22</v>
      </c>
      <c r="D176" s="2" t="s">
        <v>1148</v>
      </c>
      <c r="E176" s="41"/>
      <c r="G176" s="6"/>
      <c r="H176" s="6"/>
      <c r="I176" s="7"/>
      <c r="J176" s="7"/>
    </row>
    <row r="177" spans="1:10" ht="15" x14ac:dyDescent="0.25">
      <c r="A177" s="82" t="s">
        <v>1132</v>
      </c>
      <c r="B177" s="3" t="s">
        <v>1144</v>
      </c>
      <c r="C177" s="12">
        <v>1.22</v>
      </c>
      <c r="D177" s="2" t="s">
        <v>1148</v>
      </c>
      <c r="E177" s="41"/>
      <c r="G177" s="6"/>
      <c r="H177" s="6"/>
      <c r="I177" s="7"/>
      <c r="J177" s="7"/>
    </row>
    <row r="178" spans="1:10" ht="15" x14ac:dyDescent="0.25">
      <c r="A178" s="82" t="s">
        <v>1133</v>
      </c>
      <c r="B178" s="3" t="s">
        <v>1145</v>
      </c>
      <c r="C178" s="12">
        <v>1.22</v>
      </c>
      <c r="D178" s="2" t="s">
        <v>1148</v>
      </c>
      <c r="E178" s="41"/>
      <c r="G178" s="6"/>
      <c r="H178" s="6"/>
      <c r="I178" s="7"/>
      <c r="J178" s="7"/>
    </row>
    <row r="179" spans="1:10" ht="15" x14ac:dyDescent="0.25">
      <c r="A179" s="82" t="s">
        <v>1134</v>
      </c>
      <c r="B179" s="3" t="s">
        <v>1146</v>
      </c>
      <c r="C179" s="12">
        <v>1.22</v>
      </c>
      <c r="D179" s="2" t="s">
        <v>1148</v>
      </c>
      <c r="E179" s="41"/>
      <c r="G179" s="6"/>
      <c r="H179" s="6"/>
      <c r="I179" s="7"/>
      <c r="J179" s="7"/>
    </row>
    <row r="180" spans="1:10" ht="15" x14ac:dyDescent="0.25">
      <c r="A180" s="82" t="s">
        <v>1135</v>
      </c>
      <c r="B180" s="3" t="s">
        <v>1147</v>
      </c>
      <c r="C180" s="12">
        <v>1.22</v>
      </c>
      <c r="D180" s="2" t="s">
        <v>1148</v>
      </c>
      <c r="E180" s="41"/>
      <c r="G180" s="6"/>
      <c r="H180" s="6"/>
      <c r="I180" s="7"/>
      <c r="J180" s="7"/>
    </row>
    <row r="181" spans="1:10" ht="15" x14ac:dyDescent="0.25">
      <c r="A181" s="82" t="s">
        <v>1201</v>
      </c>
      <c r="B181" s="3" t="s">
        <v>1202</v>
      </c>
      <c r="C181" s="12">
        <v>1.22</v>
      </c>
      <c r="D181" s="2" t="s">
        <v>1148</v>
      </c>
      <c r="E181" s="41"/>
      <c r="G181" s="6"/>
      <c r="H181" s="6"/>
      <c r="I181" s="7"/>
      <c r="J181" s="7"/>
    </row>
    <row r="182" spans="1:10" ht="15" x14ac:dyDescent="0.25">
      <c r="A182" s="82"/>
      <c r="B182" s="3"/>
      <c r="C182" s="12"/>
      <c r="D182" s="2"/>
      <c r="E182" s="41"/>
      <c r="G182" s="6"/>
      <c r="H182" s="6"/>
      <c r="I182" s="7"/>
      <c r="J182" s="7"/>
    </row>
    <row r="183" spans="1:10" x14ac:dyDescent="0.2">
      <c r="A183" s="82" t="s">
        <v>316</v>
      </c>
      <c r="B183" s="3" t="s">
        <v>955</v>
      </c>
      <c r="C183" s="16">
        <v>1.27</v>
      </c>
      <c r="D183" s="2" t="s">
        <v>519</v>
      </c>
      <c r="E183" s="41"/>
      <c r="G183" s="7"/>
      <c r="H183" s="7"/>
      <c r="I183" s="7"/>
      <c r="J183" s="7"/>
    </row>
    <row r="184" spans="1:10" x14ac:dyDescent="0.2">
      <c r="A184" s="82" t="s">
        <v>317</v>
      </c>
      <c r="B184" s="3" t="s">
        <v>956</v>
      </c>
      <c r="C184" s="16">
        <v>1.27</v>
      </c>
      <c r="D184" s="2" t="s">
        <v>519</v>
      </c>
      <c r="E184" s="41"/>
      <c r="G184" s="7"/>
      <c r="H184" s="7"/>
      <c r="I184" s="7"/>
      <c r="J184" s="7"/>
    </row>
    <row r="185" spans="1:10" x14ac:dyDescent="0.2">
      <c r="A185" s="82" t="s">
        <v>318</v>
      </c>
      <c r="B185" s="3" t="s">
        <v>319</v>
      </c>
      <c r="C185" s="16">
        <v>1.27</v>
      </c>
      <c r="D185" s="2" t="s">
        <v>519</v>
      </c>
      <c r="E185" s="41"/>
      <c r="G185" s="7"/>
      <c r="H185" s="7"/>
      <c r="I185" s="7"/>
      <c r="J185" s="7"/>
    </row>
    <row r="186" spans="1:10" x14ac:dyDescent="0.2">
      <c r="A186" s="82" t="s">
        <v>320</v>
      </c>
      <c r="B186" s="3" t="s">
        <v>321</v>
      </c>
      <c r="C186" s="16">
        <v>1.27</v>
      </c>
      <c r="D186" s="2" t="s">
        <v>519</v>
      </c>
      <c r="E186" s="41"/>
    </row>
    <row r="187" spans="1:10" x14ac:dyDescent="0.2">
      <c r="A187" s="82" t="s">
        <v>322</v>
      </c>
      <c r="B187" s="3" t="s">
        <v>323</v>
      </c>
      <c r="C187" s="16">
        <v>1.27</v>
      </c>
      <c r="D187" s="2" t="s">
        <v>519</v>
      </c>
      <c r="E187" s="41"/>
    </row>
    <row r="188" spans="1:10" x14ac:dyDescent="0.2">
      <c r="A188" s="82" t="s">
        <v>256</v>
      </c>
      <c r="B188" s="3" t="s">
        <v>324</v>
      </c>
      <c r="C188" s="16">
        <v>1.27</v>
      </c>
      <c r="D188" s="2" t="s">
        <v>519</v>
      </c>
      <c r="E188" s="41"/>
    </row>
    <row r="189" spans="1:10" x14ac:dyDescent="0.2">
      <c r="A189" s="82" t="s">
        <v>325</v>
      </c>
      <c r="B189" s="3" t="s">
        <v>326</v>
      </c>
      <c r="C189" s="16">
        <v>1.27</v>
      </c>
      <c r="D189" s="2" t="s">
        <v>519</v>
      </c>
      <c r="E189" s="41"/>
    </row>
    <row r="190" spans="1:10" x14ac:dyDescent="0.2">
      <c r="A190" s="82" t="s">
        <v>335</v>
      </c>
      <c r="B190" s="3" t="s">
        <v>336</v>
      </c>
      <c r="C190" s="16">
        <v>1.27</v>
      </c>
      <c r="D190" s="2" t="s">
        <v>519</v>
      </c>
      <c r="E190" s="41"/>
    </row>
    <row r="191" spans="1:10" x14ac:dyDescent="0.2">
      <c r="A191" s="82" t="s">
        <v>356</v>
      </c>
      <c r="B191" s="3" t="s">
        <v>484</v>
      </c>
      <c r="C191" s="16">
        <v>1.27</v>
      </c>
      <c r="D191" s="2" t="s">
        <v>519</v>
      </c>
      <c r="E191" s="41"/>
    </row>
    <row r="192" spans="1:10" x14ac:dyDescent="0.2">
      <c r="A192" s="82" t="s">
        <v>357</v>
      </c>
      <c r="B192" s="3" t="s">
        <v>485</v>
      </c>
      <c r="C192" s="16">
        <v>1.27</v>
      </c>
      <c r="D192" s="2" t="s">
        <v>519</v>
      </c>
      <c r="E192" s="41"/>
    </row>
    <row r="193" spans="1:5" x14ac:dyDescent="0.2">
      <c r="A193" s="82" t="s">
        <v>358</v>
      </c>
      <c r="B193" s="3" t="s">
        <v>957</v>
      </c>
      <c r="C193" s="16">
        <v>1.27</v>
      </c>
      <c r="D193" s="2" t="s">
        <v>519</v>
      </c>
      <c r="E193" s="41"/>
    </row>
    <row r="194" spans="1:5" x14ac:dyDescent="0.2">
      <c r="A194" s="82" t="s">
        <v>359</v>
      </c>
      <c r="B194" s="17" t="s">
        <v>486</v>
      </c>
      <c r="C194" s="16">
        <v>1.27</v>
      </c>
      <c r="D194" s="2" t="s">
        <v>519</v>
      </c>
      <c r="E194" s="41"/>
    </row>
    <row r="195" spans="1:5" x14ac:dyDescent="0.2">
      <c r="A195" s="82"/>
      <c r="B195" s="17"/>
      <c r="C195" s="16"/>
      <c r="D195" s="2"/>
      <c r="E195" s="41"/>
    </row>
    <row r="196" spans="1:5" x14ac:dyDescent="0.2">
      <c r="A196" s="82" t="s">
        <v>338</v>
      </c>
      <c r="B196" s="11" t="s">
        <v>490</v>
      </c>
      <c r="C196" s="16">
        <v>9.5</v>
      </c>
      <c r="D196" s="2" t="s">
        <v>520</v>
      </c>
      <c r="E196" s="41"/>
    </row>
    <row r="197" spans="1:5" x14ac:dyDescent="0.2">
      <c r="A197" s="82" t="s">
        <v>339</v>
      </c>
      <c r="B197" s="11" t="s">
        <v>954</v>
      </c>
      <c r="C197" s="16">
        <v>9.5</v>
      </c>
      <c r="D197" s="2" t="s">
        <v>520</v>
      </c>
      <c r="E197" s="41"/>
    </row>
    <row r="198" spans="1:5" x14ac:dyDescent="0.2">
      <c r="A198" s="82" t="s">
        <v>340</v>
      </c>
      <c r="B198" s="11" t="s">
        <v>343</v>
      </c>
      <c r="C198" s="16">
        <v>9.5</v>
      </c>
      <c r="D198" s="2" t="s">
        <v>520</v>
      </c>
      <c r="E198" s="41"/>
    </row>
    <row r="199" spans="1:5" x14ac:dyDescent="0.2">
      <c r="A199" s="82" t="s">
        <v>341</v>
      </c>
      <c r="B199" s="11" t="s">
        <v>344</v>
      </c>
      <c r="C199" s="16">
        <v>9.5</v>
      </c>
      <c r="D199" s="2" t="s">
        <v>520</v>
      </c>
      <c r="E199" s="41"/>
    </row>
    <row r="200" spans="1:5" x14ac:dyDescent="0.2">
      <c r="A200" s="82" t="s">
        <v>342</v>
      </c>
      <c r="B200" s="9" t="s">
        <v>345</v>
      </c>
      <c r="C200" s="16">
        <v>9.5</v>
      </c>
      <c r="D200" s="2" t="s">
        <v>520</v>
      </c>
      <c r="E200" s="41"/>
    </row>
    <row r="201" spans="1:5" x14ac:dyDescent="0.2">
      <c r="A201" s="82"/>
      <c r="B201" s="9"/>
      <c r="C201" s="16"/>
      <c r="D201" s="2"/>
      <c r="E201" s="41"/>
    </row>
    <row r="202" spans="1:5" x14ac:dyDescent="0.2">
      <c r="A202" s="82" t="s">
        <v>346</v>
      </c>
      <c r="B202" s="11" t="s">
        <v>523</v>
      </c>
      <c r="C202" s="16">
        <v>4.5999999999999996</v>
      </c>
      <c r="D202" s="2" t="s">
        <v>524</v>
      </c>
      <c r="E202" s="41"/>
    </row>
    <row r="203" spans="1:5" x14ac:dyDescent="0.2">
      <c r="A203" s="82" t="s">
        <v>347</v>
      </c>
      <c r="B203" s="11" t="s">
        <v>491</v>
      </c>
      <c r="C203" s="16">
        <v>4.5999999999999996</v>
      </c>
      <c r="D203" s="2" t="s">
        <v>524</v>
      </c>
      <c r="E203" s="41"/>
    </row>
    <row r="204" spans="1:5" x14ac:dyDescent="0.2">
      <c r="A204" s="82" t="s">
        <v>348</v>
      </c>
      <c r="B204" s="11" t="s">
        <v>492</v>
      </c>
      <c r="C204" s="16">
        <v>4.5999999999999996</v>
      </c>
      <c r="D204" s="2" t="s">
        <v>524</v>
      </c>
      <c r="E204" s="41"/>
    </row>
    <row r="205" spans="1:5" x14ac:dyDescent="0.2">
      <c r="A205" s="82" t="s">
        <v>349</v>
      </c>
      <c r="B205" s="11" t="s">
        <v>493</v>
      </c>
      <c r="C205" s="16">
        <v>4.5999999999999996</v>
      </c>
      <c r="D205" s="2" t="s">
        <v>524</v>
      </c>
      <c r="E205" s="41"/>
    </row>
    <row r="206" spans="1:5" x14ac:dyDescent="0.2">
      <c r="A206" s="82"/>
      <c r="B206" s="11"/>
      <c r="C206" s="16"/>
      <c r="D206" s="2"/>
      <c r="E206" s="41"/>
    </row>
    <row r="207" spans="1:5" x14ac:dyDescent="0.2">
      <c r="A207" s="82" t="s">
        <v>350</v>
      </c>
      <c r="B207" s="11" t="s">
        <v>354</v>
      </c>
      <c r="C207" s="16">
        <v>8.1999999999999993</v>
      </c>
      <c r="D207" s="2" t="s">
        <v>522</v>
      </c>
      <c r="E207" s="41"/>
    </row>
    <row r="208" spans="1:5" x14ac:dyDescent="0.2">
      <c r="A208" s="82" t="s">
        <v>351</v>
      </c>
      <c r="B208" s="11" t="s">
        <v>494</v>
      </c>
      <c r="C208" s="16">
        <v>8.1999999999999993</v>
      </c>
      <c r="D208" s="2" t="s">
        <v>522</v>
      </c>
      <c r="E208" s="41"/>
    </row>
    <row r="209" spans="1:5" x14ac:dyDescent="0.2">
      <c r="A209" s="82" t="s">
        <v>352</v>
      </c>
      <c r="B209" s="11" t="s">
        <v>355</v>
      </c>
      <c r="C209" s="16">
        <v>8.1999999999999993</v>
      </c>
      <c r="D209" s="2" t="s">
        <v>522</v>
      </c>
      <c r="E209" s="41"/>
    </row>
    <row r="210" spans="1:5" x14ac:dyDescent="0.2">
      <c r="A210" s="82" t="s">
        <v>353</v>
      </c>
      <c r="B210" s="11" t="s">
        <v>495</v>
      </c>
      <c r="C210" s="16">
        <v>8.1999999999999993</v>
      </c>
      <c r="D210" s="2" t="s">
        <v>522</v>
      </c>
      <c r="E210" s="41"/>
    </row>
    <row r="211" spans="1:5" x14ac:dyDescent="0.2">
      <c r="A211" s="82"/>
      <c r="B211" s="11"/>
      <c r="C211" s="16"/>
      <c r="D211" s="2"/>
      <c r="E211" s="41"/>
    </row>
    <row r="212" spans="1:5" x14ac:dyDescent="0.2">
      <c r="A212" s="82" t="s">
        <v>529</v>
      </c>
      <c r="B212" s="11" t="s">
        <v>530</v>
      </c>
      <c r="C212" s="16">
        <v>3.9</v>
      </c>
      <c r="D212" s="2" t="s">
        <v>547</v>
      </c>
      <c r="E212" s="41"/>
    </row>
    <row r="213" spans="1:5" x14ac:dyDescent="0.2">
      <c r="A213" s="82" t="s">
        <v>531</v>
      </c>
      <c r="B213" s="11" t="s">
        <v>532</v>
      </c>
      <c r="C213" s="16">
        <v>3.9</v>
      </c>
      <c r="D213" s="2" t="s">
        <v>547</v>
      </c>
      <c r="E213" s="41"/>
    </row>
    <row r="214" spans="1:5" x14ac:dyDescent="0.2">
      <c r="A214" s="82" t="s">
        <v>533</v>
      </c>
      <c r="B214" s="11" t="s">
        <v>534</v>
      </c>
      <c r="C214" s="16">
        <v>3.9</v>
      </c>
      <c r="D214" s="2" t="s">
        <v>547</v>
      </c>
      <c r="E214" s="41"/>
    </row>
    <row r="215" spans="1:5" x14ac:dyDescent="0.2">
      <c r="A215" s="82" t="s">
        <v>535</v>
      </c>
      <c r="B215" s="11" t="s">
        <v>536</v>
      </c>
      <c r="C215" s="16">
        <v>3.9</v>
      </c>
      <c r="D215" s="2" t="s">
        <v>547</v>
      </c>
      <c r="E215" s="41"/>
    </row>
    <row r="216" spans="1:5" x14ac:dyDescent="0.2">
      <c r="A216" s="82" t="s">
        <v>537</v>
      </c>
      <c r="B216" s="11" t="s">
        <v>538</v>
      </c>
      <c r="C216" s="16">
        <v>3.9</v>
      </c>
      <c r="D216" s="2" t="s">
        <v>547</v>
      </c>
      <c r="E216" s="41"/>
    </row>
    <row r="217" spans="1:5" x14ac:dyDescent="0.2">
      <c r="A217" s="82"/>
      <c r="B217" s="11"/>
      <c r="C217" s="16"/>
      <c r="D217" s="2"/>
      <c r="E217" s="41"/>
    </row>
    <row r="218" spans="1:5" x14ac:dyDescent="0.2">
      <c r="A218" s="82" t="s">
        <v>539</v>
      </c>
      <c r="B218" s="11" t="s">
        <v>540</v>
      </c>
      <c r="C218" s="38">
        <v>2.27</v>
      </c>
      <c r="D218" s="39" t="s">
        <v>548</v>
      </c>
      <c r="E218" s="41"/>
    </row>
    <row r="219" spans="1:5" x14ac:dyDescent="0.2">
      <c r="A219" s="82" t="s">
        <v>541</v>
      </c>
      <c r="B219" s="11" t="s">
        <v>542</v>
      </c>
      <c r="C219" s="38">
        <v>2.27</v>
      </c>
      <c r="D219" s="39" t="s">
        <v>548</v>
      </c>
      <c r="E219" s="41"/>
    </row>
    <row r="220" spans="1:5" x14ac:dyDescent="0.2">
      <c r="A220" s="82" t="s">
        <v>543</v>
      </c>
      <c r="B220" s="11" t="s">
        <v>544</v>
      </c>
      <c r="C220" s="38">
        <v>2.27</v>
      </c>
      <c r="D220" s="39" t="s">
        <v>548</v>
      </c>
      <c r="E220" s="41"/>
    </row>
    <row r="221" spans="1:5" x14ac:dyDescent="0.2">
      <c r="A221" s="82" t="s">
        <v>545</v>
      </c>
      <c r="B221" s="11" t="s">
        <v>546</v>
      </c>
      <c r="C221" s="38">
        <v>2.27</v>
      </c>
      <c r="D221" s="39" t="s">
        <v>548</v>
      </c>
      <c r="E221" s="41"/>
    </row>
    <row r="222" spans="1:5" x14ac:dyDescent="0.2">
      <c r="A222" s="82" t="s">
        <v>711</v>
      </c>
      <c r="B222" s="11" t="s">
        <v>712</v>
      </c>
      <c r="C222" s="38">
        <v>2.27</v>
      </c>
      <c r="D222" s="39" t="s">
        <v>548</v>
      </c>
      <c r="E222" s="41"/>
    </row>
    <row r="223" spans="1:5" x14ac:dyDescent="0.2">
      <c r="A223" s="82" t="s">
        <v>713</v>
      </c>
      <c r="B223" s="11" t="s">
        <v>714</v>
      </c>
      <c r="C223" s="38">
        <v>2.27</v>
      </c>
      <c r="D223" s="39" t="s">
        <v>548</v>
      </c>
      <c r="E223" s="41"/>
    </row>
    <row r="224" spans="1:5" x14ac:dyDescent="0.2">
      <c r="A224" s="82" t="s">
        <v>715</v>
      </c>
      <c r="B224" s="11" t="s">
        <v>836</v>
      </c>
      <c r="C224" s="38">
        <v>2.27</v>
      </c>
      <c r="D224" s="39" t="s">
        <v>548</v>
      </c>
      <c r="E224" s="41"/>
    </row>
    <row r="225" spans="1:5" x14ac:dyDescent="0.2">
      <c r="A225" s="82" t="s">
        <v>716</v>
      </c>
      <c r="B225" s="11" t="s">
        <v>717</v>
      </c>
      <c r="C225" s="38">
        <v>2.27</v>
      </c>
      <c r="D225" s="39" t="s">
        <v>548</v>
      </c>
      <c r="E225" s="41"/>
    </row>
    <row r="226" spans="1:5" x14ac:dyDescent="0.2">
      <c r="A226" s="82"/>
      <c r="B226" s="11"/>
      <c r="C226" s="38"/>
      <c r="D226" s="39"/>
      <c r="E226" s="41"/>
    </row>
    <row r="227" spans="1:5" x14ac:dyDescent="0.2">
      <c r="A227" s="82" t="s">
        <v>589</v>
      </c>
      <c r="B227" s="3" t="s">
        <v>952</v>
      </c>
      <c r="C227" s="12">
        <v>1.38</v>
      </c>
      <c r="D227" s="39" t="s">
        <v>574</v>
      </c>
      <c r="E227" s="41"/>
    </row>
    <row r="228" spans="1:5" x14ac:dyDescent="0.2">
      <c r="A228" s="82" t="s">
        <v>590</v>
      </c>
      <c r="B228" s="3" t="s">
        <v>598</v>
      </c>
      <c r="C228" s="12">
        <v>1.38</v>
      </c>
      <c r="D228" s="39" t="s">
        <v>574</v>
      </c>
      <c r="E228" s="41"/>
    </row>
    <row r="229" spans="1:5" x14ac:dyDescent="0.2">
      <c r="A229" s="82" t="s">
        <v>591</v>
      </c>
      <c r="B229" s="3" t="s">
        <v>953</v>
      </c>
      <c r="C229" s="12">
        <v>1.38</v>
      </c>
      <c r="D229" s="39" t="s">
        <v>574</v>
      </c>
      <c r="E229" s="41"/>
    </row>
    <row r="230" spans="1:5" x14ac:dyDescent="0.2">
      <c r="A230" s="82" t="s">
        <v>592</v>
      </c>
      <c r="B230" s="3" t="s">
        <v>599</v>
      </c>
      <c r="C230" s="12">
        <v>1.38</v>
      </c>
      <c r="D230" s="39" t="s">
        <v>574</v>
      </c>
      <c r="E230" s="41"/>
    </row>
    <row r="231" spans="1:5" x14ac:dyDescent="0.2">
      <c r="A231" s="82" t="s">
        <v>593</v>
      </c>
      <c r="B231" s="3" t="s">
        <v>600</v>
      </c>
      <c r="C231" s="12">
        <v>1.38</v>
      </c>
      <c r="D231" s="39" t="s">
        <v>574</v>
      </c>
      <c r="E231" s="41"/>
    </row>
    <row r="232" spans="1:5" x14ac:dyDescent="0.2">
      <c r="A232" s="82" t="s">
        <v>594</v>
      </c>
      <c r="B232" s="3" t="s">
        <v>601</v>
      </c>
      <c r="C232" s="12">
        <v>1.38</v>
      </c>
      <c r="D232" s="39" t="s">
        <v>574</v>
      </c>
      <c r="E232" s="41"/>
    </row>
    <row r="233" spans="1:5" x14ac:dyDescent="0.2">
      <c r="A233" s="82" t="s">
        <v>595</v>
      </c>
      <c r="B233" s="3" t="s">
        <v>602</v>
      </c>
      <c r="C233" s="12">
        <v>1.38</v>
      </c>
      <c r="D233" s="39" t="s">
        <v>574</v>
      </c>
      <c r="E233" s="41"/>
    </row>
    <row r="234" spans="1:5" x14ac:dyDescent="0.2">
      <c r="A234" s="82" t="s">
        <v>596</v>
      </c>
      <c r="B234" s="3" t="s">
        <v>603</v>
      </c>
      <c r="C234" s="12">
        <v>1.38</v>
      </c>
      <c r="D234" s="39" t="s">
        <v>574</v>
      </c>
      <c r="E234" s="41"/>
    </row>
    <row r="235" spans="1:5" x14ac:dyDescent="0.2">
      <c r="A235" s="82" t="s">
        <v>597</v>
      </c>
      <c r="B235" s="3" t="s">
        <v>951</v>
      </c>
      <c r="C235" s="12">
        <v>1.38</v>
      </c>
      <c r="D235" s="39" t="s">
        <v>574</v>
      </c>
      <c r="E235" s="41"/>
    </row>
    <row r="236" spans="1:5" x14ac:dyDescent="0.2">
      <c r="A236" s="82"/>
      <c r="B236" s="44"/>
      <c r="C236" s="20"/>
      <c r="D236" s="20"/>
      <c r="E236" s="41"/>
    </row>
    <row r="237" spans="1:5" x14ac:dyDescent="0.2">
      <c r="A237" s="82" t="s">
        <v>1149</v>
      </c>
      <c r="B237" s="3" t="s">
        <v>1154</v>
      </c>
      <c r="C237" s="12">
        <v>2.85</v>
      </c>
      <c r="D237" s="39" t="s">
        <v>1159</v>
      </c>
      <c r="E237" s="41"/>
    </row>
    <row r="238" spans="1:5" x14ac:dyDescent="0.2">
      <c r="A238" s="82" t="s">
        <v>1150</v>
      </c>
      <c r="B238" s="3" t="s">
        <v>1155</v>
      </c>
      <c r="C238" s="12">
        <v>2.85</v>
      </c>
      <c r="D238" s="39" t="s">
        <v>1159</v>
      </c>
      <c r="E238" s="41"/>
    </row>
    <row r="239" spans="1:5" x14ac:dyDescent="0.2">
      <c r="A239" s="82" t="s">
        <v>1151</v>
      </c>
      <c r="B239" s="3" t="s">
        <v>1156</v>
      </c>
      <c r="C239" s="12">
        <v>2.85</v>
      </c>
      <c r="D239" s="39" t="s">
        <v>1159</v>
      </c>
      <c r="E239" s="41"/>
    </row>
    <row r="240" spans="1:5" x14ac:dyDescent="0.2">
      <c r="A240" s="82" t="s">
        <v>1152</v>
      </c>
      <c r="B240" s="3" t="s">
        <v>1157</v>
      </c>
      <c r="C240" s="12">
        <v>2.85</v>
      </c>
      <c r="D240" s="39" t="s">
        <v>1159</v>
      </c>
      <c r="E240" s="41"/>
    </row>
    <row r="241" spans="1:5" x14ac:dyDescent="0.2">
      <c r="A241" s="82" t="s">
        <v>1153</v>
      </c>
      <c r="B241" s="3" t="s">
        <v>1158</v>
      </c>
      <c r="C241" s="12">
        <v>2.85</v>
      </c>
      <c r="D241" s="39" t="s">
        <v>1159</v>
      </c>
      <c r="E241" s="41"/>
    </row>
    <row r="242" spans="1:5" x14ac:dyDescent="0.2">
      <c r="A242" s="82"/>
      <c r="B242" s="44"/>
      <c r="C242" s="20"/>
      <c r="D242" s="20"/>
      <c r="E242" s="41"/>
    </row>
    <row r="243" spans="1:5" x14ac:dyDescent="0.2">
      <c r="A243" s="82" t="s">
        <v>588</v>
      </c>
      <c r="B243" s="3" t="s">
        <v>575</v>
      </c>
      <c r="C243" s="12">
        <v>1.08</v>
      </c>
      <c r="D243" s="39" t="s">
        <v>1244</v>
      </c>
      <c r="E243" s="41"/>
    </row>
    <row r="244" spans="1:5" x14ac:dyDescent="0.2">
      <c r="A244" s="82" t="s">
        <v>576</v>
      </c>
      <c r="B244" s="3" t="s">
        <v>949</v>
      </c>
      <c r="C244" s="12">
        <v>1.08</v>
      </c>
      <c r="D244" s="39" t="s">
        <v>1244</v>
      </c>
      <c r="E244" s="41"/>
    </row>
    <row r="245" spans="1:5" x14ac:dyDescent="0.2">
      <c r="A245" s="82" t="s">
        <v>577</v>
      </c>
      <c r="B245" s="3" t="s">
        <v>950</v>
      </c>
      <c r="C245" s="12">
        <v>1.08</v>
      </c>
      <c r="D245" s="39" t="s">
        <v>1244</v>
      </c>
      <c r="E245" s="41"/>
    </row>
    <row r="246" spans="1:5" x14ac:dyDescent="0.2">
      <c r="A246" s="82" t="s">
        <v>578</v>
      </c>
      <c r="B246" s="3" t="s">
        <v>583</v>
      </c>
      <c r="C246" s="12">
        <v>1.08</v>
      </c>
      <c r="D246" s="39" t="s">
        <v>1244</v>
      </c>
      <c r="E246" s="41"/>
    </row>
    <row r="247" spans="1:5" x14ac:dyDescent="0.2">
      <c r="A247" s="82" t="s">
        <v>579</v>
      </c>
      <c r="B247" s="3" t="s">
        <v>584</v>
      </c>
      <c r="C247" s="12">
        <v>1.08</v>
      </c>
      <c r="D247" s="39" t="s">
        <v>1244</v>
      </c>
      <c r="E247" s="41"/>
    </row>
    <row r="248" spans="1:5" x14ac:dyDescent="0.2">
      <c r="A248" s="82" t="s">
        <v>580</v>
      </c>
      <c r="B248" s="3" t="s">
        <v>585</v>
      </c>
      <c r="C248" s="12">
        <v>1.08</v>
      </c>
      <c r="D248" s="39" t="s">
        <v>1244</v>
      </c>
      <c r="E248" s="41"/>
    </row>
    <row r="249" spans="1:5" x14ac:dyDescent="0.2">
      <c r="A249" s="82" t="s">
        <v>581</v>
      </c>
      <c r="B249" s="3" t="s">
        <v>586</v>
      </c>
      <c r="C249" s="12">
        <v>1.08</v>
      </c>
      <c r="D249" s="39" t="s">
        <v>1244</v>
      </c>
      <c r="E249" s="41"/>
    </row>
    <row r="250" spans="1:5" x14ac:dyDescent="0.2">
      <c r="A250" s="82" t="s">
        <v>582</v>
      </c>
      <c r="B250" s="3" t="s">
        <v>587</v>
      </c>
      <c r="C250" s="12">
        <v>1.08</v>
      </c>
      <c r="D250" s="39" t="s">
        <v>1244</v>
      </c>
      <c r="E250" s="41"/>
    </row>
    <row r="251" spans="1:5" x14ac:dyDescent="0.2">
      <c r="A251" s="82"/>
      <c r="B251" s="19"/>
      <c r="C251" s="20"/>
      <c r="D251" s="45"/>
      <c r="E251" s="41"/>
    </row>
    <row r="252" spans="1:5" x14ac:dyDescent="0.2">
      <c r="A252" s="82" t="s">
        <v>1038</v>
      </c>
      <c r="B252" s="19" t="s">
        <v>1043</v>
      </c>
      <c r="C252" s="12">
        <v>8.5</v>
      </c>
      <c r="D252" s="45" t="s">
        <v>1048</v>
      </c>
      <c r="E252" s="41"/>
    </row>
    <row r="253" spans="1:5" x14ac:dyDescent="0.2">
      <c r="A253" s="82" t="s">
        <v>1039</v>
      </c>
      <c r="B253" s="19" t="s">
        <v>1044</v>
      </c>
      <c r="C253" s="12">
        <v>8.5</v>
      </c>
      <c r="D253" s="45" t="s">
        <v>1048</v>
      </c>
      <c r="E253" s="41"/>
    </row>
    <row r="254" spans="1:5" x14ac:dyDescent="0.2">
      <c r="A254" s="82" t="s">
        <v>1040</v>
      </c>
      <c r="B254" s="19" t="s">
        <v>1045</v>
      </c>
      <c r="C254" s="12">
        <v>8.5</v>
      </c>
      <c r="D254" s="45" t="s">
        <v>1048</v>
      </c>
      <c r="E254" s="41"/>
    </row>
    <row r="255" spans="1:5" x14ac:dyDescent="0.2">
      <c r="A255" s="82" t="s">
        <v>1041</v>
      </c>
      <c r="B255" s="19" t="s">
        <v>1046</v>
      </c>
      <c r="C255" s="12">
        <v>8.5</v>
      </c>
      <c r="D255" s="45" t="s">
        <v>1048</v>
      </c>
      <c r="E255" s="41"/>
    </row>
    <row r="256" spans="1:5" x14ac:dyDescent="0.2">
      <c r="A256" s="82" t="s">
        <v>1042</v>
      </c>
      <c r="B256" s="19" t="s">
        <v>1047</v>
      </c>
      <c r="C256" s="12">
        <v>8.5</v>
      </c>
      <c r="D256" s="45" t="s">
        <v>1048</v>
      </c>
      <c r="E256" s="41"/>
    </row>
    <row r="257" spans="1:5" x14ac:dyDescent="0.2">
      <c r="A257" s="82"/>
      <c r="B257" s="19"/>
      <c r="C257" s="20"/>
      <c r="D257" s="45"/>
      <c r="E257" s="41"/>
    </row>
    <row r="258" spans="1:5" x14ac:dyDescent="0.2">
      <c r="A258" s="82" t="s">
        <v>669</v>
      </c>
      <c r="B258" s="3" t="s">
        <v>668</v>
      </c>
      <c r="C258" s="12">
        <v>2.7</v>
      </c>
      <c r="D258" s="2" t="s">
        <v>513</v>
      </c>
      <c r="E258" s="41"/>
    </row>
    <row r="259" spans="1:5" x14ac:dyDescent="0.2">
      <c r="A259" s="82" t="s">
        <v>670</v>
      </c>
      <c r="B259" s="3" t="s">
        <v>947</v>
      </c>
      <c r="C259" s="12">
        <v>2.7</v>
      </c>
      <c r="D259" s="2" t="s">
        <v>513</v>
      </c>
      <c r="E259" s="41"/>
    </row>
    <row r="260" spans="1:5" x14ac:dyDescent="0.2">
      <c r="A260" s="82" t="s">
        <v>671</v>
      </c>
      <c r="B260" s="3" t="s">
        <v>672</v>
      </c>
      <c r="C260" s="12">
        <v>2.7</v>
      </c>
      <c r="D260" s="2" t="s">
        <v>513</v>
      </c>
      <c r="E260" s="41"/>
    </row>
    <row r="261" spans="1:5" x14ac:dyDescent="0.2">
      <c r="A261" s="82" t="s">
        <v>673</v>
      </c>
      <c r="B261" s="3" t="s">
        <v>948</v>
      </c>
      <c r="C261" s="12">
        <v>2.7</v>
      </c>
      <c r="D261" s="2" t="s">
        <v>513</v>
      </c>
      <c r="E261" s="41"/>
    </row>
    <row r="262" spans="1:5" x14ac:dyDescent="0.2">
      <c r="A262" s="82" t="s">
        <v>674</v>
      </c>
      <c r="B262" s="3" t="s">
        <v>675</v>
      </c>
      <c r="C262" s="12">
        <v>2.7</v>
      </c>
      <c r="D262" s="2" t="s">
        <v>513</v>
      </c>
      <c r="E262" s="41"/>
    </row>
    <row r="263" spans="1:5" x14ac:dyDescent="0.2">
      <c r="A263" s="82" t="s">
        <v>676</v>
      </c>
      <c r="B263" s="3" t="s">
        <v>677</v>
      </c>
      <c r="C263" s="12">
        <v>2.7</v>
      </c>
      <c r="D263" s="2" t="s">
        <v>513</v>
      </c>
      <c r="E263" s="41"/>
    </row>
    <row r="264" spans="1:5" x14ac:dyDescent="0.2">
      <c r="A264" s="82" t="s">
        <v>678</v>
      </c>
      <c r="B264" s="3" t="s">
        <v>679</v>
      </c>
      <c r="C264" s="12">
        <v>2.7</v>
      </c>
      <c r="D264" s="2" t="s">
        <v>513</v>
      </c>
      <c r="E264" s="41"/>
    </row>
    <row r="265" spans="1:5" x14ac:dyDescent="0.2">
      <c r="A265" s="82" t="s">
        <v>680</v>
      </c>
      <c r="B265" s="3" t="s">
        <v>681</v>
      </c>
      <c r="C265" s="12">
        <v>2.7</v>
      </c>
      <c r="D265" s="2" t="s">
        <v>513</v>
      </c>
      <c r="E265" s="41"/>
    </row>
    <row r="266" spans="1:5" x14ac:dyDescent="0.2">
      <c r="A266" s="82" t="s">
        <v>682</v>
      </c>
      <c r="B266" s="3" t="s">
        <v>683</v>
      </c>
      <c r="C266" s="12">
        <v>2.7</v>
      </c>
      <c r="D266" s="2" t="s">
        <v>513</v>
      </c>
      <c r="E266" s="41"/>
    </row>
    <row r="267" spans="1:5" x14ac:dyDescent="0.2">
      <c r="A267" s="82" t="s">
        <v>684</v>
      </c>
      <c r="B267" s="3" t="s">
        <v>685</v>
      </c>
      <c r="C267" s="12">
        <v>2.7</v>
      </c>
      <c r="D267" s="2" t="s">
        <v>513</v>
      </c>
      <c r="E267" s="41"/>
    </row>
    <row r="268" spans="1:5" x14ac:dyDescent="0.2">
      <c r="A268" s="82" t="s">
        <v>686</v>
      </c>
      <c r="B268" s="3" t="s">
        <v>687</v>
      </c>
      <c r="C268" s="12">
        <v>2.7</v>
      </c>
      <c r="D268" s="2" t="s">
        <v>513</v>
      </c>
      <c r="E268" s="41"/>
    </row>
    <row r="269" spans="1:5" x14ac:dyDescent="0.2">
      <c r="A269" s="82" t="s">
        <v>689</v>
      </c>
      <c r="B269" s="3" t="s">
        <v>688</v>
      </c>
      <c r="C269" s="12">
        <v>2.7</v>
      </c>
      <c r="D269" s="2" t="s">
        <v>513</v>
      </c>
      <c r="E269" s="41"/>
    </row>
    <row r="270" spans="1:5" x14ac:dyDescent="0.2">
      <c r="A270" s="82"/>
      <c r="B270" s="3"/>
      <c r="C270" s="22"/>
      <c r="D270" s="2"/>
      <c r="E270" s="41"/>
    </row>
    <row r="271" spans="1:5" x14ac:dyDescent="0.2">
      <c r="A271" s="82" t="s">
        <v>1021</v>
      </c>
      <c r="B271" s="3" t="s">
        <v>1029</v>
      </c>
      <c r="C271" s="22">
        <v>6.4</v>
      </c>
      <c r="D271" s="2" t="s">
        <v>1037</v>
      </c>
      <c r="E271" s="41"/>
    </row>
    <row r="272" spans="1:5" x14ac:dyDescent="0.2">
      <c r="A272" s="82" t="s">
        <v>1022</v>
      </c>
      <c r="B272" s="3" t="s">
        <v>1030</v>
      </c>
      <c r="C272" s="22">
        <v>6.4</v>
      </c>
      <c r="D272" s="2" t="s">
        <v>1037</v>
      </c>
      <c r="E272" s="41"/>
    </row>
    <row r="273" spans="1:5" x14ac:dyDescent="0.2">
      <c r="A273" s="82" t="s">
        <v>1023</v>
      </c>
      <c r="B273" s="3" t="s">
        <v>1031</v>
      </c>
      <c r="C273" s="22">
        <v>6.4</v>
      </c>
      <c r="D273" s="2" t="s">
        <v>1037</v>
      </c>
      <c r="E273" s="41"/>
    </row>
    <row r="274" spans="1:5" x14ac:dyDescent="0.2">
      <c r="A274" s="82" t="s">
        <v>1024</v>
      </c>
      <c r="B274" s="3" t="s">
        <v>1032</v>
      </c>
      <c r="C274" s="22">
        <v>6.4</v>
      </c>
      <c r="D274" s="2" t="s">
        <v>1037</v>
      </c>
      <c r="E274" s="41"/>
    </row>
    <row r="275" spans="1:5" x14ac:dyDescent="0.2">
      <c r="A275" s="82" t="s">
        <v>1025</v>
      </c>
      <c r="B275" s="3" t="s">
        <v>1033</v>
      </c>
      <c r="C275" s="22">
        <v>6.4</v>
      </c>
      <c r="D275" s="2" t="s">
        <v>1037</v>
      </c>
      <c r="E275" s="41"/>
    </row>
    <row r="276" spans="1:5" x14ac:dyDescent="0.2">
      <c r="A276" s="82" t="s">
        <v>1026</v>
      </c>
      <c r="B276" s="3" t="s">
        <v>1034</v>
      </c>
      <c r="C276" s="22">
        <v>6.4</v>
      </c>
      <c r="D276" s="2" t="s">
        <v>1037</v>
      </c>
      <c r="E276" s="41"/>
    </row>
    <row r="277" spans="1:5" x14ac:dyDescent="0.2">
      <c r="A277" s="82" t="s">
        <v>1027</v>
      </c>
      <c r="B277" s="3" t="s">
        <v>1035</v>
      </c>
      <c r="C277" s="22">
        <v>6.4</v>
      </c>
      <c r="D277" s="2" t="s">
        <v>1037</v>
      </c>
      <c r="E277" s="41"/>
    </row>
    <row r="278" spans="1:5" x14ac:dyDescent="0.2">
      <c r="A278" s="82" t="s">
        <v>1028</v>
      </c>
      <c r="B278" s="3" t="s">
        <v>1036</v>
      </c>
      <c r="C278" s="22">
        <v>6.4</v>
      </c>
      <c r="D278" s="2" t="s">
        <v>1037</v>
      </c>
      <c r="E278" s="41"/>
    </row>
    <row r="279" spans="1:5" ht="15" thickBot="1" x14ac:dyDescent="0.25">
      <c r="A279" s="82"/>
      <c r="B279" s="3"/>
      <c r="C279" s="22"/>
      <c r="D279" s="2"/>
      <c r="E279" s="41"/>
    </row>
    <row r="280" spans="1:5" ht="15" thickBot="1" x14ac:dyDescent="0.25">
      <c r="A280" s="82" t="s">
        <v>292</v>
      </c>
      <c r="B280" s="3" t="s">
        <v>49</v>
      </c>
      <c r="C280" s="14">
        <v>3.32</v>
      </c>
      <c r="D280" s="2" t="s">
        <v>1245</v>
      </c>
      <c r="E280" s="41"/>
    </row>
    <row r="281" spans="1:5" ht="15" thickBot="1" x14ac:dyDescent="0.25">
      <c r="A281" s="82" t="s">
        <v>293</v>
      </c>
      <c r="B281" s="3" t="s">
        <v>50</v>
      </c>
      <c r="C281" s="14">
        <v>3.32</v>
      </c>
      <c r="D281" s="2" t="s">
        <v>1245</v>
      </c>
      <c r="E281" s="41"/>
    </row>
    <row r="282" spans="1:5" ht="15" thickBot="1" x14ac:dyDescent="0.25">
      <c r="A282" s="82" t="s">
        <v>294</v>
      </c>
      <c r="B282" s="3" t="s">
        <v>51</v>
      </c>
      <c r="C282" s="14">
        <v>3.32</v>
      </c>
      <c r="D282" s="2" t="s">
        <v>1245</v>
      </c>
      <c r="E282" s="41"/>
    </row>
    <row r="283" spans="1:5" ht="15" thickBot="1" x14ac:dyDescent="0.25">
      <c r="A283" s="82" t="s">
        <v>295</v>
      </c>
      <c r="B283" s="3" t="s">
        <v>52</v>
      </c>
      <c r="C283" s="14">
        <v>3.32</v>
      </c>
      <c r="D283" s="2" t="s">
        <v>1245</v>
      </c>
      <c r="E283" s="41"/>
    </row>
    <row r="284" spans="1:5" ht="15" thickBot="1" x14ac:dyDescent="0.25">
      <c r="A284" s="82" t="s">
        <v>296</v>
      </c>
      <c r="B284" s="3" t="s">
        <v>53</v>
      </c>
      <c r="C284" s="14">
        <v>3.32</v>
      </c>
      <c r="D284" s="2" t="s">
        <v>1245</v>
      </c>
      <c r="E284" s="41"/>
    </row>
    <row r="285" spans="1:5" ht="15" thickBot="1" x14ac:dyDescent="0.25">
      <c r="A285" s="82" t="s">
        <v>297</v>
      </c>
      <c r="B285" s="3" t="s">
        <v>54</v>
      </c>
      <c r="C285" s="14">
        <v>3.32</v>
      </c>
      <c r="D285" s="2" t="s">
        <v>1245</v>
      </c>
      <c r="E285" s="41"/>
    </row>
    <row r="286" spans="1:5" ht="15" thickBot="1" x14ac:dyDescent="0.25">
      <c r="A286" s="82" t="s">
        <v>298</v>
      </c>
      <c r="B286" s="3" t="s">
        <v>55</v>
      </c>
      <c r="C286" s="14">
        <v>3.32</v>
      </c>
      <c r="D286" s="2" t="s">
        <v>1245</v>
      </c>
      <c r="E286" s="41"/>
    </row>
    <row r="287" spans="1:5" ht="15" thickBot="1" x14ac:dyDescent="0.25">
      <c r="A287" s="82" t="s">
        <v>871</v>
      </c>
      <c r="B287" s="3" t="s">
        <v>872</v>
      </c>
      <c r="C287" s="14">
        <v>3.32</v>
      </c>
      <c r="D287" s="2" t="s">
        <v>1245</v>
      </c>
      <c r="E287" s="41"/>
    </row>
    <row r="288" spans="1:5" x14ac:dyDescent="0.2">
      <c r="A288" s="82" t="s">
        <v>878</v>
      </c>
      <c r="B288" s="3" t="s">
        <v>877</v>
      </c>
      <c r="C288" s="14">
        <v>3.32</v>
      </c>
      <c r="D288" s="2" t="s">
        <v>1245</v>
      </c>
      <c r="E288" s="41"/>
    </row>
    <row r="289" spans="1:5" ht="15" thickBot="1" x14ac:dyDescent="0.25">
      <c r="A289" s="82"/>
      <c r="B289" s="3"/>
      <c r="C289" s="20"/>
      <c r="D289" s="2"/>
      <c r="E289" s="41"/>
    </row>
    <row r="290" spans="1:5" ht="15" thickBot="1" x14ac:dyDescent="0.25">
      <c r="A290" s="82" t="s">
        <v>299</v>
      </c>
      <c r="B290" s="3" t="s">
        <v>56</v>
      </c>
      <c r="C290" s="14">
        <v>3.63</v>
      </c>
      <c r="D290" s="2" t="s">
        <v>1245</v>
      </c>
      <c r="E290" s="41"/>
    </row>
    <row r="291" spans="1:5" ht="15" thickBot="1" x14ac:dyDescent="0.25">
      <c r="A291" s="82" t="s">
        <v>300</v>
      </c>
      <c r="B291" s="3" t="s">
        <v>57</v>
      </c>
      <c r="C291" s="14">
        <v>3.63</v>
      </c>
      <c r="D291" s="2" t="s">
        <v>1245</v>
      </c>
      <c r="E291" s="41"/>
    </row>
    <row r="292" spans="1:5" ht="15" thickBot="1" x14ac:dyDescent="0.25">
      <c r="A292" s="82" t="s">
        <v>301</v>
      </c>
      <c r="B292" s="3" t="s">
        <v>58</v>
      </c>
      <c r="C292" s="14">
        <v>3.63</v>
      </c>
      <c r="D292" s="2" t="s">
        <v>1245</v>
      </c>
      <c r="E292" s="41"/>
    </row>
    <row r="293" spans="1:5" ht="15" thickBot="1" x14ac:dyDescent="0.25">
      <c r="A293" s="82" t="s">
        <v>246</v>
      </c>
      <c r="B293" s="3" t="s">
        <v>418</v>
      </c>
      <c r="C293" s="14">
        <v>3.63</v>
      </c>
      <c r="D293" s="2" t="s">
        <v>1245</v>
      </c>
      <c r="E293" s="41"/>
    </row>
    <row r="294" spans="1:5" ht="15" thickBot="1" x14ac:dyDescent="0.25">
      <c r="A294" s="82" t="s">
        <v>875</v>
      </c>
      <c r="B294" s="3" t="s">
        <v>873</v>
      </c>
      <c r="C294" s="14">
        <v>3.63</v>
      </c>
      <c r="D294" s="2" t="s">
        <v>1245</v>
      </c>
      <c r="E294" s="41"/>
    </row>
    <row r="295" spans="1:5" x14ac:dyDescent="0.2">
      <c r="A295" s="82" t="s">
        <v>876</v>
      </c>
      <c r="B295" s="3" t="s">
        <v>874</v>
      </c>
      <c r="C295" s="14">
        <v>3.63</v>
      </c>
      <c r="D295" s="2" t="s">
        <v>1245</v>
      </c>
      <c r="E295" s="41"/>
    </row>
    <row r="296" spans="1:5" ht="15" thickBot="1" x14ac:dyDescent="0.25">
      <c r="A296" s="82"/>
      <c r="B296" s="3"/>
      <c r="C296" s="20"/>
      <c r="D296" s="2"/>
      <c r="E296" s="41"/>
    </row>
    <row r="297" spans="1:5" ht="15" thickBot="1" x14ac:dyDescent="0.25">
      <c r="A297" s="82" t="s">
        <v>302</v>
      </c>
      <c r="B297" s="3" t="s">
        <v>59</v>
      </c>
      <c r="C297" s="14">
        <v>3.32</v>
      </c>
      <c r="D297" s="2" t="s">
        <v>629</v>
      </c>
      <c r="E297" s="41"/>
    </row>
    <row r="298" spans="1:5" ht="15" thickBot="1" x14ac:dyDescent="0.25">
      <c r="A298" s="82" t="s">
        <v>303</v>
      </c>
      <c r="B298" s="3" t="s">
        <v>60</v>
      </c>
      <c r="C298" s="14">
        <v>3.32</v>
      </c>
      <c r="D298" s="2" t="s">
        <v>629</v>
      </c>
      <c r="E298" s="41"/>
    </row>
    <row r="299" spans="1:5" ht="15" thickBot="1" x14ac:dyDescent="0.25">
      <c r="A299" s="82" t="s">
        <v>304</v>
      </c>
      <c r="B299" s="3" t="s">
        <v>61</v>
      </c>
      <c r="C299" s="14">
        <v>3.32</v>
      </c>
      <c r="D299" s="2" t="s">
        <v>629</v>
      </c>
      <c r="E299" s="41"/>
    </row>
    <row r="300" spans="1:5" ht="15" thickBot="1" x14ac:dyDescent="0.25">
      <c r="A300" s="82" t="s">
        <v>305</v>
      </c>
      <c r="B300" s="3" t="s">
        <v>62</v>
      </c>
      <c r="C300" s="14">
        <v>3.32</v>
      </c>
      <c r="D300" s="2" t="s">
        <v>629</v>
      </c>
      <c r="E300" s="41"/>
    </row>
    <row r="301" spans="1:5" x14ac:dyDescent="0.2">
      <c r="A301" s="82" t="s">
        <v>306</v>
      </c>
      <c r="B301" s="3" t="s">
        <v>63</v>
      </c>
      <c r="C301" s="14">
        <v>3.32</v>
      </c>
      <c r="D301" s="2" t="s">
        <v>629</v>
      </c>
      <c r="E301" s="41"/>
    </row>
    <row r="302" spans="1:5" ht="15" thickBot="1" x14ac:dyDescent="0.25">
      <c r="A302" s="82"/>
      <c r="B302" s="3"/>
      <c r="C302" s="20"/>
      <c r="D302" s="2"/>
      <c r="E302" s="41"/>
    </row>
    <row r="303" spans="1:5" ht="15" thickBot="1" x14ac:dyDescent="0.25">
      <c r="A303" s="82" t="s">
        <v>307</v>
      </c>
      <c r="B303" s="3" t="s">
        <v>64</v>
      </c>
      <c r="C303" s="14">
        <v>3.32</v>
      </c>
      <c r="D303" s="2" t="s">
        <v>1245</v>
      </c>
      <c r="E303" s="41"/>
    </row>
    <row r="304" spans="1:5" ht="15" thickBot="1" x14ac:dyDescent="0.25">
      <c r="A304" s="82" t="s">
        <v>308</v>
      </c>
      <c r="B304" s="3" t="s">
        <v>65</v>
      </c>
      <c r="C304" s="14">
        <v>3.32</v>
      </c>
      <c r="D304" s="2" t="s">
        <v>1245</v>
      </c>
      <c r="E304" s="41"/>
    </row>
    <row r="305" spans="1:5" x14ac:dyDescent="0.2">
      <c r="A305" s="82" t="s">
        <v>309</v>
      </c>
      <c r="B305" s="3" t="s">
        <v>1162</v>
      </c>
      <c r="C305" s="14">
        <v>3.32</v>
      </c>
      <c r="D305" s="2" t="s">
        <v>1245</v>
      </c>
      <c r="E305" s="41"/>
    </row>
    <row r="306" spans="1:5" ht="15" thickBot="1" x14ac:dyDescent="0.25">
      <c r="A306" s="82"/>
      <c r="B306" s="3"/>
      <c r="C306" s="20"/>
      <c r="D306" s="2"/>
      <c r="E306" s="41"/>
    </row>
    <row r="307" spans="1:5" ht="15" thickBot="1" x14ac:dyDescent="0.25">
      <c r="A307" s="82" t="s">
        <v>74</v>
      </c>
      <c r="B307" s="3" t="s">
        <v>75</v>
      </c>
      <c r="C307" s="14">
        <v>3.32</v>
      </c>
      <c r="D307" s="2" t="s">
        <v>503</v>
      </c>
      <c r="E307" s="41"/>
    </row>
    <row r="308" spans="1:5" ht="15" thickBot="1" x14ac:dyDescent="0.25">
      <c r="A308" s="82" t="s">
        <v>76</v>
      </c>
      <c r="B308" s="3" t="s">
        <v>77</v>
      </c>
      <c r="C308" s="14">
        <v>3.32</v>
      </c>
      <c r="D308" s="2" t="s">
        <v>503</v>
      </c>
      <c r="E308" s="41"/>
    </row>
    <row r="309" spans="1:5" ht="15" thickBot="1" x14ac:dyDescent="0.25">
      <c r="A309" s="82" t="s">
        <v>78</v>
      </c>
      <c r="B309" s="3" t="s">
        <v>79</v>
      </c>
      <c r="C309" s="14">
        <v>3.32</v>
      </c>
      <c r="D309" s="2" t="s">
        <v>503</v>
      </c>
      <c r="E309" s="41"/>
    </row>
    <row r="310" spans="1:5" ht="15" thickBot="1" x14ac:dyDescent="0.25">
      <c r="A310" s="82" t="s">
        <v>80</v>
      </c>
      <c r="B310" s="3" t="s">
        <v>945</v>
      </c>
      <c r="C310" s="14">
        <v>3.32</v>
      </c>
      <c r="D310" s="2" t="s">
        <v>503</v>
      </c>
      <c r="E310" s="41"/>
    </row>
    <row r="311" spans="1:5" ht="15" thickBot="1" x14ac:dyDescent="0.25">
      <c r="A311" s="82" t="s">
        <v>81</v>
      </c>
      <c r="B311" s="3" t="s">
        <v>82</v>
      </c>
      <c r="C311" s="14">
        <v>3.32</v>
      </c>
      <c r="D311" s="2" t="s">
        <v>503</v>
      </c>
      <c r="E311" s="41"/>
    </row>
    <row r="312" spans="1:5" ht="15" thickBot="1" x14ac:dyDescent="0.25">
      <c r="A312" s="82" t="s">
        <v>83</v>
      </c>
      <c r="B312" s="3" t="s">
        <v>84</v>
      </c>
      <c r="C312" s="14">
        <v>3.32</v>
      </c>
      <c r="D312" s="2" t="s">
        <v>503</v>
      </c>
      <c r="E312" s="41"/>
    </row>
    <row r="313" spans="1:5" ht="15" thickBot="1" x14ac:dyDescent="0.25">
      <c r="A313" s="82" t="s">
        <v>85</v>
      </c>
      <c r="B313" s="3" t="s">
        <v>946</v>
      </c>
      <c r="C313" s="14">
        <v>3.32</v>
      </c>
      <c r="D313" s="2" t="s">
        <v>503</v>
      </c>
      <c r="E313" s="41"/>
    </row>
    <row r="314" spans="1:5" ht="15" thickBot="1" x14ac:dyDescent="0.25">
      <c r="A314" s="82" t="s">
        <v>86</v>
      </c>
      <c r="B314" s="3" t="s">
        <v>87</v>
      </c>
      <c r="C314" s="14">
        <v>3.32</v>
      </c>
      <c r="D314" s="2" t="s">
        <v>503</v>
      </c>
      <c r="E314" s="41"/>
    </row>
    <row r="315" spans="1:5" ht="15" thickBot="1" x14ac:dyDescent="0.25">
      <c r="A315" s="82" t="s">
        <v>88</v>
      </c>
      <c r="B315" s="3" t="s">
        <v>89</v>
      </c>
      <c r="C315" s="14">
        <v>3.32</v>
      </c>
      <c r="D315" s="2" t="s">
        <v>503</v>
      </c>
      <c r="E315" s="41"/>
    </row>
    <row r="316" spans="1:5" ht="15" thickBot="1" x14ac:dyDescent="0.25">
      <c r="A316" s="82" t="s">
        <v>90</v>
      </c>
      <c r="B316" s="3" t="s">
        <v>91</v>
      </c>
      <c r="C316" s="14">
        <v>3.32</v>
      </c>
      <c r="D316" s="2" t="s">
        <v>503</v>
      </c>
      <c r="E316" s="41"/>
    </row>
    <row r="317" spans="1:5" x14ac:dyDescent="0.2">
      <c r="A317" s="82" t="s">
        <v>92</v>
      </c>
      <c r="B317" s="3" t="s">
        <v>93</v>
      </c>
      <c r="C317" s="14">
        <v>3.32</v>
      </c>
      <c r="D317" s="2" t="s">
        <v>503</v>
      </c>
      <c r="E317" s="41"/>
    </row>
    <row r="318" spans="1:5" ht="15" thickBot="1" x14ac:dyDescent="0.25">
      <c r="A318" s="82"/>
      <c r="B318" s="3"/>
      <c r="C318" s="13"/>
      <c r="D318" s="2"/>
      <c r="E318" s="41"/>
    </row>
    <row r="319" spans="1:5" ht="15" thickBot="1" x14ac:dyDescent="0.25">
      <c r="A319" s="82" t="s">
        <v>106</v>
      </c>
      <c r="B319" s="3" t="s">
        <v>943</v>
      </c>
      <c r="C319" s="13">
        <v>8.5</v>
      </c>
      <c r="D319" s="2" t="s">
        <v>514</v>
      </c>
      <c r="E319" s="41"/>
    </row>
    <row r="320" spans="1:5" ht="15" thickBot="1" x14ac:dyDescent="0.25">
      <c r="A320" s="82" t="s">
        <v>107</v>
      </c>
      <c r="B320" s="3" t="s">
        <v>944</v>
      </c>
      <c r="C320" s="13">
        <v>8.5</v>
      </c>
      <c r="D320" s="2" t="s">
        <v>514</v>
      </c>
      <c r="E320" s="41"/>
    </row>
    <row r="321" spans="1:5" ht="15" thickBot="1" x14ac:dyDescent="0.25">
      <c r="A321" s="82" t="s">
        <v>108</v>
      </c>
      <c r="B321" s="3" t="s">
        <v>419</v>
      </c>
      <c r="C321" s="13">
        <v>8.5</v>
      </c>
      <c r="D321" s="2" t="s">
        <v>514</v>
      </c>
      <c r="E321" s="41"/>
    </row>
    <row r="322" spans="1:5" ht="15" thickBot="1" x14ac:dyDescent="0.25">
      <c r="A322" s="82"/>
      <c r="B322" s="3"/>
      <c r="C322" s="13"/>
      <c r="D322" s="2"/>
      <c r="E322" s="41"/>
    </row>
    <row r="323" spans="1:5" ht="15" thickBot="1" x14ac:dyDescent="0.25">
      <c r="A323" s="82" t="s">
        <v>420</v>
      </c>
      <c r="B323" s="3" t="s">
        <v>421</v>
      </c>
      <c r="C323" s="14">
        <v>1.62</v>
      </c>
      <c r="D323" s="2" t="s">
        <v>515</v>
      </c>
      <c r="E323" s="41"/>
    </row>
    <row r="324" spans="1:5" ht="15" thickBot="1" x14ac:dyDescent="0.25">
      <c r="A324" s="82" t="s">
        <v>422</v>
      </c>
      <c r="B324" s="3" t="s">
        <v>423</v>
      </c>
      <c r="C324" s="14">
        <v>1.62</v>
      </c>
      <c r="D324" s="2" t="s">
        <v>515</v>
      </c>
      <c r="E324" s="41"/>
    </row>
    <row r="325" spans="1:5" ht="15" thickBot="1" x14ac:dyDescent="0.25">
      <c r="A325" s="82" t="s">
        <v>424</v>
      </c>
      <c r="B325" s="3" t="s">
        <v>425</v>
      </c>
      <c r="C325" s="14">
        <v>1.62</v>
      </c>
      <c r="D325" s="2" t="s">
        <v>515</v>
      </c>
      <c r="E325" s="41"/>
    </row>
    <row r="326" spans="1:5" ht="15" thickBot="1" x14ac:dyDescent="0.25">
      <c r="A326" s="82" t="s">
        <v>426</v>
      </c>
      <c r="B326" s="3" t="s">
        <v>427</v>
      </c>
      <c r="C326" s="14">
        <v>1.62</v>
      </c>
      <c r="D326" s="2" t="s">
        <v>515</v>
      </c>
      <c r="E326" s="41"/>
    </row>
    <row r="327" spans="1:5" x14ac:dyDescent="0.2">
      <c r="A327" s="82" t="s">
        <v>428</v>
      </c>
      <c r="B327" s="3" t="s">
        <v>429</v>
      </c>
      <c r="C327" s="14">
        <v>1.62</v>
      </c>
      <c r="D327" s="2" t="s">
        <v>515</v>
      </c>
      <c r="E327" s="41"/>
    </row>
    <row r="328" spans="1:5" ht="15" thickBot="1" x14ac:dyDescent="0.25">
      <c r="A328" s="82"/>
      <c r="B328" s="3"/>
      <c r="C328" s="13"/>
      <c r="D328" s="2"/>
      <c r="E328" s="41"/>
    </row>
    <row r="329" spans="1:5" ht="15" thickBot="1" x14ac:dyDescent="0.25">
      <c r="A329" s="82" t="s">
        <v>115</v>
      </c>
      <c r="B329" s="3" t="s">
        <v>430</v>
      </c>
      <c r="C329" s="13">
        <v>10.94</v>
      </c>
      <c r="D329" s="2" t="s">
        <v>516</v>
      </c>
      <c r="E329" s="41"/>
    </row>
    <row r="330" spans="1:5" ht="15" thickBot="1" x14ac:dyDescent="0.25">
      <c r="A330" s="82" t="s">
        <v>121</v>
      </c>
      <c r="B330" s="3" t="s">
        <v>431</v>
      </c>
      <c r="C330" s="13">
        <v>10.94</v>
      </c>
      <c r="D330" s="2" t="s">
        <v>516</v>
      </c>
      <c r="E330" s="41"/>
    </row>
    <row r="331" spans="1:5" ht="15" thickBot="1" x14ac:dyDescent="0.25">
      <c r="A331" s="82" t="s">
        <v>117</v>
      </c>
      <c r="B331" s="3" t="s">
        <v>432</v>
      </c>
      <c r="C331" s="13">
        <v>10.94</v>
      </c>
      <c r="D331" s="2" t="s">
        <v>516</v>
      </c>
      <c r="E331" s="41"/>
    </row>
    <row r="332" spans="1:5" ht="15" thickBot="1" x14ac:dyDescent="0.25">
      <c r="A332" s="82" t="s">
        <v>118</v>
      </c>
      <c r="B332" s="3" t="s">
        <v>433</v>
      </c>
      <c r="C332" s="13">
        <v>10.94</v>
      </c>
      <c r="D332" s="2" t="s">
        <v>516</v>
      </c>
      <c r="E332" s="41"/>
    </row>
    <row r="333" spans="1:5" ht="15" thickBot="1" x14ac:dyDescent="0.25">
      <c r="A333" s="82" t="s">
        <v>116</v>
      </c>
      <c r="B333" s="3" t="s">
        <v>434</v>
      </c>
      <c r="C333" s="13">
        <v>10.94</v>
      </c>
      <c r="D333" s="2" t="s">
        <v>516</v>
      </c>
      <c r="E333" s="41"/>
    </row>
    <row r="334" spans="1:5" ht="15" thickBot="1" x14ac:dyDescent="0.25">
      <c r="A334" s="82" t="s">
        <v>120</v>
      </c>
      <c r="B334" s="3" t="s">
        <v>435</v>
      </c>
      <c r="C334" s="13">
        <v>10.94</v>
      </c>
      <c r="D334" s="2" t="s">
        <v>516</v>
      </c>
      <c r="E334" s="41"/>
    </row>
    <row r="335" spans="1:5" ht="15" thickBot="1" x14ac:dyDescent="0.25">
      <c r="A335" s="82" t="s">
        <v>119</v>
      </c>
      <c r="B335" s="3" t="s">
        <v>436</v>
      </c>
      <c r="C335" s="13">
        <v>10.94</v>
      </c>
      <c r="D335" s="2" t="s">
        <v>516</v>
      </c>
      <c r="E335" s="41"/>
    </row>
    <row r="336" spans="1:5" ht="15" thickBot="1" x14ac:dyDescent="0.25">
      <c r="A336" s="82"/>
      <c r="B336" s="3"/>
      <c r="C336" s="20"/>
      <c r="D336" s="2"/>
      <c r="E336" s="41"/>
    </row>
    <row r="337" spans="1:5" ht="15" thickBot="1" x14ac:dyDescent="0.25">
      <c r="A337" s="82" t="s">
        <v>193</v>
      </c>
      <c r="B337" s="3" t="s">
        <v>437</v>
      </c>
      <c r="C337" s="14">
        <v>0.78</v>
      </c>
      <c r="D337" s="2" t="s">
        <v>519</v>
      </c>
      <c r="E337" s="41"/>
    </row>
    <row r="338" spans="1:5" ht="15" thickBot="1" x14ac:dyDescent="0.25">
      <c r="A338" s="82" t="s">
        <v>194</v>
      </c>
      <c r="B338" s="3" t="s">
        <v>438</v>
      </c>
      <c r="C338" s="14">
        <v>0.78</v>
      </c>
      <c r="D338" s="2" t="s">
        <v>519</v>
      </c>
      <c r="E338" s="41"/>
    </row>
    <row r="339" spans="1:5" ht="15" thickBot="1" x14ac:dyDescent="0.25">
      <c r="A339" s="82" t="s">
        <v>195</v>
      </c>
      <c r="B339" s="3" t="s">
        <v>439</v>
      </c>
      <c r="C339" s="14">
        <v>0.78</v>
      </c>
      <c r="D339" s="2" t="s">
        <v>519</v>
      </c>
      <c r="E339" s="41"/>
    </row>
    <row r="340" spans="1:5" ht="15" thickBot="1" x14ac:dyDescent="0.25">
      <c r="A340" s="82" t="s">
        <v>440</v>
      </c>
      <c r="B340" s="3" t="s">
        <v>441</v>
      </c>
      <c r="C340" s="14">
        <v>0.78</v>
      </c>
      <c r="D340" s="2" t="s">
        <v>519</v>
      </c>
      <c r="E340" s="41"/>
    </row>
    <row r="341" spans="1:5" ht="15" thickBot="1" x14ac:dyDescent="0.25">
      <c r="A341" s="82" t="s">
        <v>196</v>
      </c>
      <c r="B341" s="3" t="s">
        <v>442</v>
      </c>
      <c r="C341" s="14">
        <v>0.78</v>
      </c>
      <c r="D341" s="2" t="s">
        <v>519</v>
      </c>
      <c r="E341" s="41"/>
    </row>
    <row r="342" spans="1:5" ht="15" thickBot="1" x14ac:dyDescent="0.25">
      <c r="A342" s="82" t="s">
        <v>197</v>
      </c>
      <c r="B342" s="3" t="s">
        <v>443</v>
      </c>
      <c r="C342" s="14">
        <v>0.78</v>
      </c>
      <c r="D342" s="2" t="s">
        <v>519</v>
      </c>
      <c r="E342" s="41"/>
    </row>
    <row r="343" spans="1:5" ht="15" thickBot="1" x14ac:dyDescent="0.25">
      <c r="A343" s="82" t="s">
        <v>198</v>
      </c>
      <c r="B343" s="3" t="s">
        <v>444</v>
      </c>
      <c r="C343" s="14">
        <v>0.78</v>
      </c>
      <c r="D343" s="2" t="s">
        <v>519</v>
      </c>
      <c r="E343" s="41"/>
    </row>
    <row r="344" spans="1:5" ht="15" thickBot="1" x14ac:dyDescent="0.25">
      <c r="A344" s="82" t="s">
        <v>199</v>
      </c>
      <c r="B344" s="3" t="s">
        <v>942</v>
      </c>
      <c r="C344" s="14">
        <v>0.78</v>
      </c>
      <c r="D344" s="2" t="s">
        <v>519</v>
      </c>
      <c r="E344" s="41"/>
    </row>
    <row r="345" spans="1:5" ht="15" thickBot="1" x14ac:dyDescent="0.25">
      <c r="A345" s="82" t="s">
        <v>200</v>
      </c>
      <c r="B345" s="3" t="s">
        <v>445</v>
      </c>
      <c r="C345" s="14">
        <v>0.78</v>
      </c>
      <c r="D345" s="2" t="s">
        <v>519</v>
      </c>
      <c r="E345" s="41"/>
    </row>
    <row r="346" spans="1:5" x14ac:dyDescent="0.2">
      <c r="A346" s="82" t="s">
        <v>201</v>
      </c>
      <c r="B346" s="3" t="s">
        <v>446</v>
      </c>
      <c r="C346" s="14">
        <v>0.78</v>
      </c>
      <c r="D346" s="2" t="s">
        <v>519</v>
      </c>
      <c r="E346" s="41"/>
    </row>
    <row r="347" spans="1:5" ht="15" thickBot="1" x14ac:dyDescent="0.25">
      <c r="A347" s="82"/>
      <c r="B347" s="3"/>
      <c r="C347" s="22"/>
      <c r="D347" s="2"/>
      <c r="E347" s="41"/>
    </row>
    <row r="348" spans="1:5" ht="15" thickBot="1" x14ac:dyDescent="0.25">
      <c r="A348" s="82" t="s">
        <v>202</v>
      </c>
      <c r="B348" s="3" t="s">
        <v>447</v>
      </c>
      <c r="C348" s="14">
        <v>1.24</v>
      </c>
      <c r="D348" s="2" t="s">
        <v>517</v>
      </c>
      <c r="E348" s="41"/>
    </row>
    <row r="349" spans="1:5" ht="15" thickBot="1" x14ac:dyDescent="0.25">
      <c r="A349" s="82" t="s">
        <v>203</v>
      </c>
      <c r="B349" s="3" t="s">
        <v>448</v>
      </c>
      <c r="C349" s="14">
        <v>1.24</v>
      </c>
      <c r="D349" s="2" t="s">
        <v>517</v>
      </c>
      <c r="E349" s="41"/>
    </row>
    <row r="350" spans="1:5" ht="15" thickBot="1" x14ac:dyDescent="0.25">
      <c r="A350" s="82" t="s">
        <v>204</v>
      </c>
      <c r="B350" s="3" t="s">
        <v>941</v>
      </c>
      <c r="C350" s="14">
        <v>1.24</v>
      </c>
      <c r="D350" s="2" t="s">
        <v>517</v>
      </c>
      <c r="E350" s="41"/>
    </row>
    <row r="351" spans="1:5" ht="15" thickBot="1" x14ac:dyDescent="0.25">
      <c r="A351" s="82" t="s">
        <v>205</v>
      </c>
      <c r="B351" s="3" t="s">
        <v>449</v>
      </c>
      <c r="C351" s="14">
        <v>1.24</v>
      </c>
      <c r="D351" s="2" t="s">
        <v>517</v>
      </c>
      <c r="E351" s="41"/>
    </row>
    <row r="352" spans="1:5" ht="15" thickBot="1" x14ac:dyDescent="0.25">
      <c r="A352" s="82" t="s">
        <v>206</v>
      </c>
      <c r="B352" s="3" t="s">
        <v>450</v>
      </c>
      <c r="C352" s="14">
        <v>1.24</v>
      </c>
      <c r="D352" s="2" t="s">
        <v>517</v>
      </c>
      <c r="E352" s="41"/>
    </row>
    <row r="353" spans="1:5" ht="15" thickBot="1" x14ac:dyDescent="0.25">
      <c r="A353" s="82" t="s">
        <v>207</v>
      </c>
      <c r="B353" s="3" t="s">
        <v>451</v>
      </c>
      <c r="C353" s="14">
        <v>1.24</v>
      </c>
      <c r="D353" s="2" t="s">
        <v>517</v>
      </c>
      <c r="E353" s="41"/>
    </row>
    <row r="354" spans="1:5" ht="15" thickBot="1" x14ac:dyDescent="0.25">
      <c r="A354" s="82" t="s">
        <v>208</v>
      </c>
      <c r="B354" s="3" t="s">
        <v>940</v>
      </c>
      <c r="C354" s="14">
        <v>1.24</v>
      </c>
      <c r="D354" s="2" t="s">
        <v>517</v>
      </c>
      <c r="E354" s="41"/>
    </row>
    <row r="355" spans="1:5" ht="15" thickBot="1" x14ac:dyDescent="0.25">
      <c r="A355" s="82" t="s">
        <v>209</v>
      </c>
      <c r="B355" s="3" t="s">
        <v>452</v>
      </c>
      <c r="C355" s="14">
        <v>1.24</v>
      </c>
      <c r="D355" s="2" t="s">
        <v>517</v>
      </c>
      <c r="E355" s="41"/>
    </row>
    <row r="356" spans="1:5" ht="15" thickBot="1" x14ac:dyDescent="0.25">
      <c r="A356" s="82" t="s">
        <v>363</v>
      </c>
      <c r="B356" s="3" t="s">
        <v>453</v>
      </c>
      <c r="C356" s="14">
        <v>1.24</v>
      </c>
      <c r="D356" s="2" t="s">
        <v>517</v>
      </c>
      <c r="E356" s="41"/>
    </row>
    <row r="357" spans="1:5" ht="15" thickBot="1" x14ac:dyDescent="0.25">
      <c r="A357" s="82"/>
      <c r="B357" s="3"/>
      <c r="C357" s="15"/>
      <c r="D357" s="2"/>
      <c r="E357" s="41"/>
    </row>
    <row r="358" spans="1:5" ht="15" thickBot="1" x14ac:dyDescent="0.25">
      <c r="A358" s="82" t="s">
        <v>210</v>
      </c>
      <c r="B358" s="3" t="s">
        <v>211</v>
      </c>
      <c r="C358" s="14">
        <v>1.1299999999999999</v>
      </c>
      <c r="D358" s="2" t="s">
        <v>515</v>
      </c>
      <c r="E358" s="41"/>
    </row>
    <row r="359" spans="1:5" ht="15" thickBot="1" x14ac:dyDescent="0.25">
      <c r="A359" s="82" t="s">
        <v>366</v>
      </c>
      <c r="B359" s="3" t="s">
        <v>212</v>
      </c>
      <c r="C359" s="14">
        <v>1.1299999999999999</v>
      </c>
      <c r="D359" s="2" t="s">
        <v>515</v>
      </c>
      <c r="E359" s="41"/>
    </row>
    <row r="360" spans="1:5" ht="15" thickBot="1" x14ac:dyDescent="0.25">
      <c r="A360" s="82" t="s">
        <v>367</v>
      </c>
      <c r="B360" s="3" t="s">
        <v>213</v>
      </c>
      <c r="C360" s="14">
        <v>1.1299999999999999</v>
      </c>
      <c r="D360" s="2" t="s">
        <v>515</v>
      </c>
      <c r="E360" s="41"/>
    </row>
    <row r="361" spans="1:5" ht="15" thickBot="1" x14ac:dyDescent="0.25">
      <c r="A361" s="82" t="s">
        <v>214</v>
      </c>
      <c r="B361" s="3" t="s">
        <v>215</v>
      </c>
      <c r="C361" s="14">
        <v>1.1299999999999999</v>
      </c>
      <c r="D361" s="2" t="s">
        <v>515</v>
      </c>
      <c r="E361" s="41"/>
    </row>
    <row r="362" spans="1:5" ht="15" thickBot="1" x14ac:dyDescent="0.25">
      <c r="A362" s="82" t="s">
        <v>216</v>
      </c>
      <c r="B362" s="3" t="s">
        <v>217</v>
      </c>
      <c r="C362" s="14">
        <v>1.1299999999999999</v>
      </c>
      <c r="D362" s="2" t="s">
        <v>515</v>
      </c>
      <c r="E362" s="41"/>
    </row>
    <row r="363" spans="1:5" ht="15" thickBot="1" x14ac:dyDescent="0.25">
      <c r="A363" s="82" t="s">
        <v>218</v>
      </c>
      <c r="B363" s="3" t="s">
        <v>219</v>
      </c>
      <c r="C363" s="14">
        <v>1.1299999999999999</v>
      </c>
      <c r="D363" s="2" t="s">
        <v>515</v>
      </c>
      <c r="E363" s="41"/>
    </row>
    <row r="364" spans="1:5" ht="15" thickBot="1" x14ac:dyDescent="0.25">
      <c r="A364" s="82" t="s">
        <v>220</v>
      </c>
      <c r="B364" s="3" t="s">
        <v>221</v>
      </c>
      <c r="C364" s="14">
        <v>1.1299999999999999</v>
      </c>
      <c r="D364" s="2" t="s">
        <v>515</v>
      </c>
      <c r="E364" s="42"/>
    </row>
    <row r="365" spans="1:5" ht="15" thickBot="1" x14ac:dyDescent="0.25">
      <c r="A365" s="82"/>
      <c r="B365" s="3"/>
      <c r="C365" s="15"/>
      <c r="D365" s="2"/>
      <c r="E365" s="42"/>
    </row>
    <row r="366" spans="1:5" ht="15" thickBot="1" x14ac:dyDescent="0.25">
      <c r="A366" s="82" t="s">
        <v>362</v>
      </c>
      <c r="B366" s="3" t="s">
        <v>247</v>
      </c>
      <c r="C366" s="14">
        <v>1.27</v>
      </c>
      <c r="D366" s="2" t="s">
        <v>1246</v>
      </c>
      <c r="E366" s="42"/>
    </row>
    <row r="367" spans="1:5" ht="15" thickBot="1" x14ac:dyDescent="0.25">
      <c r="A367" s="82" t="s">
        <v>248</v>
      </c>
      <c r="B367" s="3" t="s">
        <v>454</v>
      </c>
      <c r="C367" s="14">
        <v>1.27</v>
      </c>
      <c r="D367" s="2" t="s">
        <v>1246</v>
      </c>
      <c r="E367" s="42"/>
    </row>
    <row r="368" spans="1:5" ht="15" thickBot="1" x14ac:dyDescent="0.25">
      <c r="A368" s="82" t="s">
        <v>249</v>
      </c>
      <c r="B368" s="3" t="s">
        <v>455</v>
      </c>
      <c r="C368" s="14">
        <v>1.27</v>
      </c>
      <c r="D368" s="2" t="s">
        <v>1246</v>
      </c>
      <c r="E368" s="42"/>
    </row>
    <row r="369" spans="1:5" ht="15" thickBot="1" x14ac:dyDescent="0.25">
      <c r="A369" s="82" t="s">
        <v>250</v>
      </c>
      <c r="B369" s="3" t="s">
        <v>456</v>
      </c>
      <c r="C369" s="14">
        <v>1.27</v>
      </c>
      <c r="D369" s="2" t="s">
        <v>1246</v>
      </c>
      <c r="E369" s="42"/>
    </row>
    <row r="370" spans="1:5" ht="15" thickBot="1" x14ac:dyDescent="0.25">
      <c r="A370" s="82" t="s">
        <v>251</v>
      </c>
      <c r="B370" s="3" t="s">
        <v>457</v>
      </c>
      <c r="C370" s="14">
        <v>1.27</v>
      </c>
      <c r="D370" s="2" t="s">
        <v>1246</v>
      </c>
      <c r="E370" s="42"/>
    </row>
    <row r="371" spans="1:5" ht="15" thickBot="1" x14ac:dyDescent="0.25">
      <c r="A371" s="82" t="s">
        <v>252</v>
      </c>
      <c r="B371" s="3" t="s">
        <v>458</v>
      </c>
      <c r="C371" s="14">
        <v>1.27</v>
      </c>
      <c r="D371" s="2" t="s">
        <v>1246</v>
      </c>
      <c r="E371" s="42"/>
    </row>
    <row r="372" spans="1:5" ht="15" thickBot="1" x14ac:dyDescent="0.25">
      <c r="A372" s="82" t="s">
        <v>253</v>
      </c>
      <c r="B372" s="3" t="s">
        <v>459</v>
      </c>
      <c r="C372" s="14">
        <v>1.27</v>
      </c>
      <c r="D372" s="2" t="s">
        <v>1246</v>
      </c>
      <c r="E372" s="42"/>
    </row>
    <row r="373" spans="1:5" ht="15" thickBot="1" x14ac:dyDescent="0.25">
      <c r="A373" s="82" t="s">
        <v>254</v>
      </c>
      <c r="B373" s="3" t="s">
        <v>460</v>
      </c>
      <c r="C373" s="14">
        <v>1.27</v>
      </c>
      <c r="D373" s="2" t="s">
        <v>1246</v>
      </c>
      <c r="E373" s="42"/>
    </row>
    <row r="374" spans="1:5" x14ac:dyDescent="0.2">
      <c r="A374" s="82" t="s">
        <v>361</v>
      </c>
      <c r="B374" s="3" t="s">
        <v>461</v>
      </c>
      <c r="C374" s="14">
        <v>1.27</v>
      </c>
      <c r="D374" s="2" t="s">
        <v>1246</v>
      </c>
      <c r="E374" s="42"/>
    </row>
    <row r="375" spans="1:5" ht="15" thickBot="1" x14ac:dyDescent="0.25">
      <c r="A375" s="82"/>
      <c r="B375" s="3"/>
      <c r="C375" s="13"/>
      <c r="D375" s="2"/>
      <c r="E375" s="42"/>
    </row>
    <row r="376" spans="1:5" x14ac:dyDescent="0.2">
      <c r="A376" s="82" t="s">
        <v>563</v>
      </c>
      <c r="B376" s="11" t="s">
        <v>553</v>
      </c>
      <c r="C376" s="16">
        <v>0.78</v>
      </c>
      <c r="D376" s="2" t="s">
        <v>496</v>
      </c>
      <c r="E376" s="41"/>
    </row>
    <row r="377" spans="1:5" x14ac:dyDescent="0.2">
      <c r="A377" s="82" t="s">
        <v>565</v>
      </c>
      <c r="B377" s="11" t="s">
        <v>939</v>
      </c>
      <c r="C377" s="16">
        <v>0.78</v>
      </c>
      <c r="D377" s="2" t="s">
        <v>496</v>
      </c>
      <c r="E377" s="41"/>
    </row>
    <row r="378" spans="1:5" x14ac:dyDescent="0.2">
      <c r="A378" s="82" t="s">
        <v>566</v>
      </c>
      <c r="B378" s="11" t="s">
        <v>554</v>
      </c>
      <c r="C378" s="16">
        <v>0.78</v>
      </c>
      <c r="D378" s="2" t="s">
        <v>496</v>
      </c>
      <c r="E378" s="41"/>
    </row>
    <row r="379" spans="1:5" x14ac:dyDescent="0.2">
      <c r="A379" s="82" t="s">
        <v>567</v>
      </c>
      <c r="B379" s="11" t="s">
        <v>555</v>
      </c>
      <c r="C379" s="16">
        <v>0.78</v>
      </c>
      <c r="D379" s="2" t="s">
        <v>496</v>
      </c>
      <c r="E379" s="41"/>
    </row>
    <row r="380" spans="1:5" x14ac:dyDescent="0.2">
      <c r="A380" s="82" t="s">
        <v>568</v>
      </c>
      <c r="B380" s="11" t="s">
        <v>556</v>
      </c>
      <c r="C380" s="16">
        <v>0.78</v>
      </c>
      <c r="D380" s="2" t="s">
        <v>496</v>
      </c>
      <c r="E380" s="41"/>
    </row>
    <row r="381" spans="1:5" x14ac:dyDescent="0.2">
      <c r="A381" s="82" t="s">
        <v>569</v>
      </c>
      <c r="B381" s="11" t="s">
        <v>937</v>
      </c>
      <c r="C381" s="16">
        <v>0.78</v>
      </c>
      <c r="D381" s="2" t="s">
        <v>496</v>
      </c>
      <c r="E381" s="41"/>
    </row>
    <row r="382" spans="1:5" x14ac:dyDescent="0.2">
      <c r="A382" s="82" t="s">
        <v>562</v>
      </c>
      <c r="B382" s="11" t="s">
        <v>557</v>
      </c>
      <c r="C382" s="16">
        <v>0.78</v>
      </c>
      <c r="D382" s="2" t="s">
        <v>496</v>
      </c>
      <c r="E382" s="41"/>
    </row>
    <row r="383" spans="1:5" x14ac:dyDescent="0.2">
      <c r="A383" s="82" t="s">
        <v>570</v>
      </c>
      <c r="B383" s="11" t="s">
        <v>558</v>
      </c>
      <c r="C383" s="16">
        <v>0.78</v>
      </c>
      <c r="D383" s="2" t="s">
        <v>496</v>
      </c>
      <c r="E383" s="41"/>
    </row>
    <row r="384" spans="1:5" x14ac:dyDescent="0.2">
      <c r="A384" s="82" t="s">
        <v>571</v>
      </c>
      <c r="B384" s="11" t="s">
        <v>938</v>
      </c>
      <c r="C384" s="16">
        <v>0.78</v>
      </c>
      <c r="D384" s="2" t="s">
        <v>496</v>
      </c>
      <c r="E384" s="41"/>
    </row>
    <row r="385" spans="1:5" x14ac:dyDescent="0.2">
      <c r="A385" s="82" t="s">
        <v>572</v>
      </c>
      <c r="B385" s="11" t="s">
        <v>559</v>
      </c>
      <c r="C385" s="16">
        <v>0.78</v>
      </c>
      <c r="D385" s="2" t="s">
        <v>496</v>
      </c>
      <c r="E385" s="41"/>
    </row>
    <row r="386" spans="1:5" x14ac:dyDescent="0.2">
      <c r="A386" s="82" t="s">
        <v>573</v>
      </c>
      <c r="B386" s="11" t="s">
        <v>560</v>
      </c>
      <c r="C386" s="16">
        <v>0.78</v>
      </c>
      <c r="D386" s="2" t="s">
        <v>496</v>
      </c>
      <c r="E386" s="41"/>
    </row>
    <row r="387" spans="1:5" x14ac:dyDescent="0.2">
      <c r="A387" s="82" t="s">
        <v>564</v>
      </c>
      <c r="B387" s="11" t="s">
        <v>561</v>
      </c>
      <c r="C387" s="16">
        <v>0.78</v>
      </c>
      <c r="D387" s="2" t="s">
        <v>496</v>
      </c>
      <c r="E387" s="41"/>
    </row>
    <row r="388" spans="1:5" x14ac:dyDescent="0.2">
      <c r="A388" s="82"/>
      <c r="B388" s="11"/>
      <c r="C388" s="43"/>
      <c r="D388" s="2"/>
      <c r="E388" s="41"/>
    </row>
    <row r="389" spans="1:5" ht="15" thickBot="1" x14ac:dyDescent="0.25">
      <c r="A389" s="82" t="s">
        <v>66</v>
      </c>
      <c r="B389" s="3" t="s">
        <v>462</v>
      </c>
      <c r="C389" s="13">
        <v>9.1999999999999993</v>
      </c>
      <c r="D389" s="2" t="s">
        <v>518</v>
      </c>
      <c r="E389" s="41"/>
    </row>
    <row r="390" spans="1:5" ht="15" thickBot="1" x14ac:dyDescent="0.25">
      <c r="A390" s="82" t="s">
        <v>67</v>
      </c>
      <c r="B390" s="3" t="s">
        <v>463</v>
      </c>
      <c r="C390" s="13">
        <v>9.1999999999999993</v>
      </c>
      <c r="D390" s="2" t="s">
        <v>518</v>
      </c>
      <c r="E390" s="41"/>
    </row>
    <row r="391" spans="1:5" ht="15" thickBot="1" x14ac:dyDescent="0.25">
      <c r="A391" s="82" t="s">
        <v>68</v>
      </c>
      <c r="B391" s="3" t="s">
        <v>464</v>
      </c>
      <c r="C391" s="13">
        <v>9.1999999999999993</v>
      </c>
      <c r="D391" s="2" t="s">
        <v>518</v>
      </c>
      <c r="E391" s="41"/>
    </row>
    <row r="392" spans="1:5" ht="15" thickBot="1" x14ac:dyDescent="0.25">
      <c r="A392" s="82" t="s">
        <v>69</v>
      </c>
      <c r="B392" s="3" t="s">
        <v>465</v>
      </c>
      <c r="C392" s="13">
        <v>9.1999999999999993</v>
      </c>
      <c r="D392" s="2" t="s">
        <v>518</v>
      </c>
      <c r="E392" s="41"/>
    </row>
    <row r="393" spans="1:5" ht="15" thickBot="1" x14ac:dyDescent="0.25">
      <c r="A393" s="82" t="s">
        <v>70</v>
      </c>
      <c r="B393" s="3" t="s">
        <v>466</v>
      </c>
      <c r="C393" s="13">
        <v>9.1999999999999993</v>
      </c>
      <c r="D393" s="2" t="s">
        <v>518</v>
      </c>
      <c r="E393" s="41"/>
    </row>
    <row r="394" spans="1:5" ht="15" thickBot="1" x14ac:dyDescent="0.25">
      <c r="A394" s="82" t="s">
        <v>71</v>
      </c>
      <c r="B394" s="3" t="s">
        <v>467</v>
      </c>
      <c r="C394" s="13">
        <v>9.1999999999999993</v>
      </c>
      <c r="D394" s="2" t="s">
        <v>518</v>
      </c>
      <c r="E394" s="41"/>
    </row>
    <row r="395" spans="1:5" ht="15" thickBot="1" x14ac:dyDescent="0.25">
      <c r="A395" s="82" t="s">
        <v>72</v>
      </c>
      <c r="B395" s="3" t="s">
        <v>468</v>
      </c>
      <c r="C395" s="13">
        <v>9.1999999999999993</v>
      </c>
      <c r="D395" s="2" t="s">
        <v>518</v>
      </c>
      <c r="E395" s="41"/>
    </row>
    <row r="396" spans="1:5" ht="15" thickBot="1" x14ac:dyDescent="0.25">
      <c r="A396" s="82" t="s">
        <v>73</v>
      </c>
      <c r="B396" s="3" t="s">
        <v>469</v>
      </c>
      <c r="C396" s="13">
        <v>9.1999999999999993</v>
      </c>
      <c r="D396" s="2" t="s">
        <v>518</v>
      </c>
      <c r="E396" s="41"/>
    </row>
    <row r="397" spans="1:5" ht="15" thickBot="1" x14ac:dyDescent="0.25">
      <c r="A397" s="82"/>
      <c r="B397" s="3"/>
      <c r="C397" s="13"/>
      <c r="D397" s="2"/>
      <c r="E397" s="41"/>
    </row>
    <row r="398" spans="1:5" ht="15" thickBot="1" x14ac:dyDescent="0.25">
      <c r="A398" s="82" t="s">
        <v>312</v>
      </c>
      <c r="B398" s="3" t="s">
        <v>482</v>
      </c>
      <c r="C398" s="13">
        <v>12.3</v>
      </c>
      <c r="D398" s="2" t="s">
        <v>521</v>
      </c>
      <c r="E398" s="41"/>
    </row>
    <row r="399" spans="1:5" ht="15" thickBot="1" x14ac:dyDescent="0.25">
      <c r="A399" s="82" t="s">
        <v>313</v>
      </c>
      <c r="B399" s="3" t="s">
        <v>936</v>
      </c>
      <c r="C399" s="13">
        <v>12.3</v>
      </c>
      <c r="D399" s="2" t="s">
        <v>521</v>
      </c>
      <c r="E399" s="41"/>
    </row>
    <row r="400" spans="1:5" ht="15" thickBot="1" x14ac:dyDescent="0.25">
      <c r="A400" s="82" t="s">
        <v>314</v>
      </c>
      <c r="B400" s="3" t="s">
        <v>935</v>
      </c>
      <c r="C400" s="13">
        <v>12.3</v>
      </c>
      <c r="D400" s="2" t="s">
        <v>521</v>
      </c>
      <c r="E400" s="41"/>
    </row>
    <row r="401" spans="1:5" ht="15" thickBot="1" x14ac:dyDescent="0.25">
      <c r="A401" s="82" t="s">
        <v>315</v>
      </c>
      <c r="B401" s="3" t="s">
        <v>483</v>
      </c>
      <c r="C401" s="13">
        <v>12.3</v>
      </c>
      <c r="D401" s="2" t="s">
        <v>521</v>
      </c>
      <c r="E401" s="41"/>
    </row>
    <row r="402" spans="1:5" ht="15" thickBot="1" x14ac:dyDescent="0.25">
      <c r="A402" s="82"/>
      <c r="B402" s="3"/>
      <c r="C402" s="13"/>
      <c r="D402" s="2"/>
      <c r="E402" s="41"/>
    </row>
    <row r="403" spans="1:5" ht="15" thickBot="1" x14ac:dyDescent="0.25">
      <c r="A403" s="82" t="s">
        <v>223</v>
      </c>
      <c r="B403" s="3" t="s">
        <v>470</v>
      </c>
      <c r="C403" s="13">
        <v>4.0999999999999996</v>
      </c>
      <c r="D403" s="2" t="s">
        <v>1247</v>
      </c>
      <c r="E403" s="41"/>
    </row>
    <row r="404" spans="1:5" ht="15" thickBot="1" x14ac:dyDescent="0.25">
      <c r="A404" s="82" t="s">
        <v>222</v>
      </c>
      <c r="B404" s="3" t="s">
        <v>471</v>
      </c>
      <c r="C404" s="13">
        <v>4.0999999999999996</v>
      </c>
      <c r="D404" s="2" t="s">
        <v>1247</v>
      </c>
      <c r="E404" s="41"/>
    </row>
    <row r="405" spans="1:5" ht="15" thickBot="1" x14ac:dyDescent="0.25">
      <c r="A405" s="82" t="s">
        <v>224</v>
      </c>
      <c r="B405" s="3" t="s">
        <v>472</v>
      </c>
      <c r="C405" s="13">
        <v>4.0999999999999996</v>
      </c>
      <c r="D405" s="2" t="s">
        <v>1247</v>
      </c>
      <c r="E405" s="41"/>
    </row>
    <row r="406" spans="1:5" ht="15" thickBot="1" x14ac:dyDescent="0.25">
      <c r="A406" s="82" t="s">
        <v>225</v>
      </c>
      <c r="B406" s="3" t="s">
        <v>473</v>
      </c>
      <c r="C406" s="13">
        <v>4.0999999999999996</v>
      </c>
      <c r="D406" s="2" t="s">
        <v>1247</v>
      </c>
      <c r="E406" s="41"/>
    </row>
    <row r="407" spans="1:5" ht="15" thickBot="1" x14ac:dyDescent="0.25">
      <c r="A407" s="82" t="s">
        <v>226</v>
      </c>
      <c r="B407" s="3" t="s">
        <v>474</v>
      </c>
      <c r="C407" s="13">
        <v>4.0999999999999996</v>
      </c>
      <c r="D407" s="2" t="s">
        <v>1247</v>
      </c>
      <c r="E407" s="46"/>
    </row>
    <row r="408" spans="1:5" ht="15" thickBot="1" x14ac:dyDescent="0.25">
      <c r="A408" s="82" t="s">
        <v>227</v>
      </c>
      <c r="B408" s="3" t="s">
        <v>475</v>
      </c>
      <c r="C408" s="13">
        <v>4.0999999999999996</v>
      </c>
      <c r="D408" s="2" t="s">
        <v>1247</v>
      </c>
      <c r="E408" s="7"/>
    </row>
    <row r="409" spans="1:5" ht="15" thickBot="1" x14ac:dyDescent="0.25">
      <c r="A409" s="82" t="s">
        <v>228</v>
      </c>
      <c r="B409" s="3" t="s">
        <v>476</v>
      </c>
      <c r="C409" s="13">
        <v>4.0999999999999996</v>
      </c>
      <c r="D409" s="2" t="s">
        <v>1247</v>
      </c>
      <c r="E409" s="7"/>
    </row>
    <row r="410" spans="1:5" ht="15" thickBot="1" x14ac:dyDescent="0.25">
      <c r="A410" s="82" t="s">
        <v>310</v>
      </c>
      <c r="B410" s="3" t="s">
        <v>477</v>
      </c>
      <c r="C410" s="13">
        <v>4.0999999999999996</v>
      </c>
      <c r="D410" s="2" t="s">
        <v>1247</v>
      </c>
    </row>
    <row r="411" spans="1:5" ht="15" thickBot="1" x14ac:dyDescent="0.25">
      <c r="A411" s="82"/>
      <c r="B411" s="3"/>
      <c r="C411" s="13"/>
      <c r="D411" s="2"/>
    </row>
    <row r="412" spans="1:5" ht="15" thickBot="1" x14ac:dyDescent="0.25">
      <c r="A412" s="82" t="s">
        <v>332</v>
      </c>
      <c r="B412" s="3" t="s">
        <v>311</v>
      </c>
      <c r="C412" s="13">
        <v>4.0999999999999996</v>
      </c>
      <c r="D412" s="2" t="s">
        <v>1247</v>
      </c>
    </row>
    <row r="413" spans="1:5" ht="15" thickBot="1" x14ac:dyDescent="0.25">
      <c r="A413" s="82" t="s">
        <v>333</v>
      </c>
      <c r="B413" s="3" t="s">
        <v>478</v>
      </c>
      <c r="C413" s="13">
        <v>4.0999999999999996</v>
      </c>
      <c r="D413" s="2" t="s">
        <v>1247</v>
      </c>
    </row>
    <row r="414" spans="1:5" ht="15" thickBot="1" x14ac:dyDescent="0.25">
      <c r="A414" s="82" t="s">
        <v>334</v>
      </c>
      <c r="B414" s="3" t="s">
        <v>479</v>
      </c>
      <c r="C414" s="13">
        <v>4.0999999999999996</v>
      </c>
      <c r="D414" s="2" t="s">
        <v>1247</v>
      </c>
    </row>
    <row r="415" spans="1:5" ht="15" thickBot="1" x14ac:dyDescent="0.25">
      <c r="A415" s="82" t="s">
        <v>327</v>
      </c>
      <c r="B415" s="3" t="s">
        <v>480</v>
      </c>
      <c r="C415" s="13">
        <v>4.0999999999999996</v>
      </c>
      <c r="D415" s="2" t="s">
        <v>1247</v>
      </c>
    </row>
    <row r="416" spans="1:5" ht="15" thickBot="1" x14ac:dyDescent="0.25">
      <c r="A416" s="82" t="s">
        <v>328</v>
      </c>
      <c r="B416" s="3" t="s">
        <v>933</v>
      </c>
      <c r="C416" s="13">
        <v>4.0999999999999996</v>
      </c>
      <c r="D416" s="2" t="s">
        <v>1247</v>
      </c>
    </row>
    <row r="417" spans="1:4" ht="15" thickBot="1" x14ac:dyDescent="0.25">
      <c r="A417" s="82" t="s">
        <v>329</v>
      </c>
      <c r="B417" s="3" t="s">
        <v>934</v>
      </c>
      <c r="C417" s="13">
        <v>4.0999999999999996</v>
      </c>
      <c r="D417" s="2" t="s">
        <v>1247</v>
      </c>
    </row>
    <row r="418" spans="1:4" ht="15" thickBot="1" x14ac:dyDescent="0.25">
      <c r="A418" s="82" t="s">
        <v>330</v>
      </c>
      <c r="B418" s="3" t="s">
        <v>481</v>
      </c>
      <c r="C418" s="13">
        <v>4.0999999999999996</v>
      </c>
      <c r="D418" s="2" t="s">
        <v>1247</v>
      </c>
    </row>
    <row r="419" spans="1:4" x14ac:dyDescent="0.2">
      <c r="A419" s="47"/>
      <c r="B419" s="3"/>
      <c r="C419" s="21"/>
      <c r="D419" s="2"/>
    </row>
    <row r="420" spans="1:4" x14ac:dyDescent="0.2">
      <c r="A420" s="116" t="s">
        <v>1063</v>
      </c>
      <c r="B420" s="108" t="s">
        <v>1069</v>
      </c>
      <c r="C420" s="117">
        <v>3.1</v>
      </c>
      <c r="D420" s="2" t="s">
        <v>1248</v>
      </c>
    </row>
    <row r="421" spans="1:4" x14ac:dyDescent="0.2">
      <c r="A421" s="116" t="s">
        <v>1064</v>
      </c>
      <c r="B421" s="108" t="s">
        <v>1070</v>
      </c>
      <c r="C421" s="117">
        <v>3.1</v>
      </c>
      <c r="D421" s="2" t="s">
        <v>1248</v>
      </c>
    </row>
    <row r="422" spans="1:4" x14ac:dyDescent="0.2">
      <c r="A422" s="116" t="s">
        <v>1065</v>
      </c>
      <c r="B422" s="108" t="s">
        <v>1071</v>
      </c>
      <c r="C422" s="117">
        <v>3.1</v>
      </c>
      <c r="D422" s="2" t="s">
        <v>1248</v>
      </c>
    </row>
    <row r="423" spans="1:4" x14ac:dyDescent="0.2">
      <c r="A423" s="116" t="s">
        <v>1066</v>
      </c>
      <c r="B423" s="108" t="s">
        <v>1072</v>
      </c>
      <c r="C423" s="117">
        <v>3.1</v>
      </c>
      <c r="D423" s="2" t="s">
        <v>1248</v>
      </c>
    </row>
    <row r="424" spans="1:4" x14ac:dyDescent="0.2">
      <c r="A424" s="116" t="s">
        <v>1067</v>
      </c>
      <c r="B424" s="108" t="s">
        <v>1073</v>
      </c>
      <c r="C424" s="117">
        <v>3.1</v>
      </c>
      <c r="D424" s="2" t="s">
        <v>1248</v>
      </c>
    </row>
    <row r="425" spans="1:4" x14ac:dyDescent="0.2">
      <c r="A425" s="116" t="s">
        <v>1068</v>
      </c>
      <c r="B425" s="108" t="s">
        <v>1074</v>
      </c>
      <c r="C425" s="117">
        <v>3.1</v>
      </c>
      <c r="D425" s="2" t="s">
        <v>1248</v>
      </c>
    </row>
    <row r="426" spans="1:4" x14ac:dyDescent="0.2">
      <c r="A426" s="116" t="s">
        <v>1094</v>
      </c>
      <c r="B426" s="108" t="s">
        <v>1085</v>
      </c>
      <c r="C426" s="117">
        <v>3.1</v>
      </c>
      <c r="D426" s="2" t="s">
        <v>1248</v>
      </c>
    </row>
    <row r="427" spans="1:4" x14ac:dyDescent="0.2">
      <c r="A427" s="116" t="s">
        <v>1095</v>
      </c>
      <c r="B427" s="108" t="s">
        <v>1086</v>
      </c>
      <c r="C427" s="117">
        <v>3.1</v>
      </c>
      <c r="D427" s="2" t="s">
        <v>1248</v>
      </c>
    </row>
    <row r="428" spans="1:4" x14ac:dyDescent="0.2">
      <c r="A428" s="116" t="s">
        <v>1096</v>
      </c>
      <c r="B428" s="108" t="s">
        <v>1087</v>
      </c>
      <c r="C428" s="117">
        <v>3.1</v>
      </c>
      <c r="D428" s="2" t="s">
        <v>1248</v>
      </c>
    </row>
    <row r="429" spans="1:4" x14ac:dyDescent="0.2">
      <c r="A429" s="116" t="s">
        <v>1097</v>
      </c>
      <c r="B429" s="108" t="s">
        <v>1088</v>
      </c>
      <c r="C429" s="117">
        <v>3.1</v>
      </c>
      <c r="D429" s="2" t="s">
        <v>1248</v>
      </c>
    </row>
    <row r="430" spans="1:4" x14ac:dyDescent="0.2">
      <c r="A430" s="116" t="s">
        <v>1098</v>
      </c>
      <c r="B430" s="108" t="s">
        <v>1089</v>
      </c>
      <c r="C430" s="117">
        <v>3.1</v>
      </c>
      <c r="D430" s="2" t="s">
        <v>1248</v>
      </c>
    </row>
    <row r="431" spans="1:4" x14ac:dyDescent="0.2">
      <c r="A431" s="116" t="s">
        <v>1099</v>
      </c>
      <c r="B431" s="108" t="s">
        <v>1090</v>
      </c>
      <c r="C431" s="117">
        <v>3.1</v>
      </c>
      <c r="D431" s="2" t="s">
        <v>1248</v>
      </c>
    </row>
    <row r="432" spans="1:4" x14ac:dyDescent="0.2">
      <c r="A432" s="116" t="s">
        <v>1100</v>
      </c>
      <c r="B432" s="108" t="s">
        <v>1091</v>
      </c>
      <c r="C432" s="117">
        <v>3.1</v>
      </c>
      <c r="D432" s="2" t="s">
        <v>1248</v>
      </c>
    </row>
    <row r="433" spans="1:4" x14ac:dyDescent="0.2">
      <c r="A433" s="116" t="s">
        <v>1101</v>
      </c>
      <c r="B433" s="108" t="s">
        <v>1092</v>
      </c>
      <c r="C433" s="117">
        <v>3.1</v>
      </c>
      <c r="D433" s="2" t="s">
        <v>1248</v>
      </c>
    </row>
    <row r="434" spans="1:4" x14ac:dyDescent="0.2">
      <c r="A434" s="116" t="s">
        <v>1102</v>
      </c>
      <c r="B434" s="108" t="s">
        <v>1093</v>
      </c>
      <c r="C434" s="117">
        <v>3.1</v>
      </c>
      <c r="D434" s="2" t="s">
        <v>1248</v>
      </c>
    </row>
    <row r="435" spans="1:4" x14ac:dyDescent="0.2">
      <c r="A435" s="116"/>
      <c r="B435" s="108"/>
      <c r="C435" s="117"/>
      <c r="D435" s="116"/>
    </row>
    <row r="436" spans="1:4" x14ac:dyDescent="0.2">
      <c r="A436" s="116" t="s">
        <v>1075</v>
      </c>
      <c r="B436" s="108" t="s">
        <v>1080</v>
      </c>
      <c r="C436" s="117">
        <v>3.3</v>
      </c>
      <c r="D436" s="2" t="s">
        <v>1247</v>
      </c>
    </row>
    <row r="437" spans="1:4" x14ac:dyDescent="0.2">
      <c r="A437" s="116" t="s">
        <v>1076</v>
      </c>
      <c r="B437" s="108" t="s">
        <v>1081</v>
      </c>
      <c r="C437" s="117">
        <v>3.3</v>
      </c>
      <c r="D437" s="2" t="s">
        <v>1247</v>
      </c>
    </row>
    <row r="438" spans="1:4" x14ac:dyDescent="0.2">
      <c r="A438" s="116" t="s">
        <v>1077</v>
      </c>
      <c r="B438" s="108" t="s">
        <v>1082</v>
      </c>
      <c r="C438" s="117">
        <v>3.3</v>
      </c>
      <c r="D438" s="2" t="s">
        <v>1247</v>
      </c>
    </row>
    <row r="439" spans="1:4" x14ac:dyDescent="0.2">
      <c r="A439" s="116" t="s">
        <v>1078</v>
      </c>
      <c r="B439" s="108" t="s">
        <v>1083</v>
      </c>
      <c r="C439" s="117">
        <v>3.3</v>
      </c>
      <c r="D439" s="2" t="s">
        <v>1247</v>
      </c>
    </row>
    <row r="440" spans="1:4" x14ac:dyDescent="0.2">
      <c r="A440" s="116" t="s">
        <v>1121</v>
      </c>
      <c r="B440" s="108" t="s">
        <v>1122</v>
      </c>
      <c r="C440" s="117">
        <v>3.3</v>
      </c>
      <c r="D440" s="2" t="s">
        <v>1247</v>
      </c>
    </row>
    <row r="441" spans="1:4" x14ac:dyDescent="0.2">
      <c r="A441" s="116" t="s">
        <v>1079</v>
      </c>
      <c r="B441" s="108" t="s">
        <v>1084</v>
      </c>
      <c r="C441" s="117">
        <v>3.3</v>
      </c>
      <c r="D441" s="2" t="s">
        <v>1247</v>
      </c>
    </row>
    <row r="442" spans="1:4" x14ac:dyDescent="0.2">
      <c r="A442" s="116" t="s">
        <v>1112</v>
      </c>
      <c r="B442" s="108" t="s">
        <v>1103</v>
      </c>
      <c r="C442" s="117">
        <v>3.3</v>
      </c>
      <c r="D442" s="2" t="s">
        <v>1247</v>
      </c>
    </row>
    <row r="443" spans="1:4" x14ac:dyDescent="0.2">
      <c r="A443" s="116" t="s">
        <v>1113</v>
      </c>
      <c r="B443" s="108" t="s">
        <v>1104</v>
      </c>
      <c r="C443" s="117">
        <v>3.3</v>
      </c>
      <c r="D443" s="2" t="s">
        <v>1247</v>
      </c>
    </row>
    <row r="444" spans="1:4" x14ac:dyDescent="0.2">
      <c r="A444" s="116" t="s">
        <v>1114</v>
      </c>
      <c r="B444" s="108" t="s">
        <v>1105</v>
      </c>
      <c r="C444" s="117">
        <v>3.3</v>
      </c>
      <c r="D444" s="2" t="s">
        <v>1247</v>
      </c>
    </row>
    <row r="445" spans="1:4" x14ac:dyDescent="0.2">
      <c r="A445" s="116" t="s">
        <v>1115</v>
      </c>
      <c r="B445" s="108" t="s">
        <v>1106</v>
      </c>
      <c r="C445" s="117">
        <v>3.3</v>
      </c>
      <c r="D445" s="2" t="s">
        <v>1247</v>
      </c>
    </row>
    <row r="446" spans="1:4" x14ac:dyDescent="0.2">
      <c r="A446" s="116" t="s">
        <v>1116</v>
      </c>
      <c r="B446" s="108" t="s">
        <v>1107</v>
      </c>
      <c r="C446" s="117">
        <v>3.3</v>
      </c>
      <c r="D446" s="2" t="s">
        <v>1247</v>
      </c>
    </row>
    <row r="447" spans="1:4" x14ac:dyDescent="0.2">
      <c r="A447" s="116" t="s">
        <v>1117</v>
      </c>
      <c r="B447" s="108" t="s">
        <v>1108</v>
      </c>
      <c r="C447" s="117">
        <v>3.3</v>
      </c>
      <c r="D447" s="2" t="s">
        <v>1247</v>
      </c>
    </row>
    <row r="448" spans="1:4" x14ac:dyDescent="0.2">
      <c r="A448" s="116" t="s">
        <v>1118</v>
      </c>
      <c r="B448" s="108" t="s">
        <v>1109</v>
      </c>
      <c r="C448" s="117">
        <v>3.3</v>
      </c>
      <c r="D448" s="2" t="s">
        <v>1247</v>
      </c>
    </row>
    <row r="449" spans="1:4" x14ac:dyDescent="0.2">
      <c r="A449" s="116" t="s">
        <v>1119</v>
      </c>
      <c r="B449" s="108" t="s">
        <v>1110</v>
      </c>
      <c r="C449" s="117">
        <v>3.3</v>
      </c>
      <c r="D449" s="2" t="s">
        <v>1247</v>
      </c>
    </row>
    <row r="450" spans="1:4" x14ac:dyDescent="0.2">
      <c r="A450" s="116" t="s">
        <v>1120</v>
      </c>
      <c r="B450" s="108" t="s">
        <v>1111</v>
      </c>
      <c r="C450" s="117">
        <v>3.3</v>
      </c>
      <c r="D450" s="2" t="s">
        <v>1247</v>
      </c>
    </row>
    <row r="451" spans="1:4" x14ac:dyDescent="0.2">
      <c r="A451" s="82"/>
      <c r="B451" s="3"/>
      <c r="C451" s="12"/>
      <c r="D451" s="2"/>
    </row>
    <row r="452" spans="1:4" x14ac:dyDescent="0.2">
      <c r="A452" s="82" t="s">
        <v>1166</v>
      </c>
      <c r="B452" s="3" t="s">
        <v>1173</v>
      </c>
      <c r="C452" s="12">
        <v>7.8</v>
      </c>
      <c r="D452" s="2" t="s">
        <v>1165</v>
      </c>
    </row>
    <row r="453" spans="1:4" x14ac:dyDescent="0.2">
      <c r="A453" s="82" t="s">
        <v>1167</v>
      </c>
      <c r="B453" s="3" t="s">
        <v>1178</v>
      </c>
      <c r="C453" s="12">
        <v>7.8</v>
      </c>
      <c r="D453" s="2" t="s">
        <v>1165</v>
      </c>
    </row>
    <row r="454" spans="1:4" x14ac:dyDescent="0.2">
      <c r="A454" s="82" t="s">
        <v>1168</v>
      </c>
      <c r="B454" s="3" t="s">
        <v>1174</v>
      </c>
      <c r="C454" s="12">
        <v>7.8</v>
      </c>
      <c r="D454" s="2" t="s">
        <v>1165</v>
      </c>
    </row>
    <row r="455" spans="1:4" x14ac:dyDescent="0.2">
      <c r="A455" s="82" t="s">
        <v>1169</v>
      </c>
      <c r="B455" s="3" t="s">
        <v>1175</v>
      </c>
      <c r="C455" s="12">
        <v>7.8</v>
      </c>
      <c r="D455" s="2" t="s">
        <v>1165</v>
      </c>
    </row>
    <row r="456" spans="1:4" x14ac:dyDescent="0.2">
      <c r="A456" s="82" t="s">
        <v>1170</v>
      </c>
      <c r="B456" s="3" t="s">
        <v>1179</v>
      </c>
      <c r="C456" s="12">
        <v>7.8</v>
      </c>
      <c r="D456" s="2" t="s">
        <v>1165</v>
      </c>
    </row>
    <row r="457" spans="1:4" x14ac:dyDescent="0.2">
      <c r="A457" s="82" t="s">
        <v>1171</v>
      </c>
      <c r="B457" s="3" t="s">
        <v>1176</v>
      </c>
      <c r="C457" s="12">
        <v>7.8</v>
      </c>
      <c r="D457" s="2" t="s">
        <v>1165</v>
      </c>
    </row>
    <row r="458" spans="1:4" x14ac:dyDescent="0.2">
      <c r="A458" s="82" t="s">
        <v>1172</v>
      </c>
      <c r="B458" s="3" t="s">
        <v>1177</v>
      </c>
      <c r="C458" s="12">
        <v>7.8</v>
      </c>
      <c r="D458" s="2" t="s">
        <v>1165</v>
      </c>
    </row>
    <row r="459" spans="1:4" x14ac:dyDescent="0.2">
      <c r="A459" s="82"/>
      <c r="B459" s="3"/>
      <c r="C459" s="12"/>
      <c r="D459" s="2"/>
    </row>
    <row r="460" spans="1:4" x14ac:dyDescent="0.2">
      <c r="A460" s="82" t="s">
        <v>604</v>
      </c>
      <c r="B460" s="11" t="s">
        <v>605</v>
      </c>
      <c r="C460" s="16">
        <v>1.44</v>
      </c>
      <c r="D460" s="2" t="s">
        <v>629</v>
      </c>
    </row>
    <row r="461" spans="1:4" x14ac:dyDescent="0.2">
      <c r="A461" s="82" t="s">
        <v>606</v>
      </c>
      <c r="B461" s="11" t="s">
        <v>612</v>
      </c>
      <c r="C461" s="16">
        <v>1.44</v>
      </c>
      <c r="D461" s="47" t="s">
        <v>630</v>
      </c>
    </row>
    <row r="462" spans="1:4" x14ac:dyDescent="0.2">
      <c r="A462" s="82" t="s">
        <v>607</v>
      </c>
      <c r="B462" s="11" t="s">
        <v>613</v>
      </c>
      <c r="C462" s="16">
        <v>1.44</v>
      </c>
      <c r="D462" s="2" t="s">
        <v>629</v>
      </c>
    </row>
    <row r="463" spans="1:4" x14ac:dyDescent="0.2">
      <c r="A463" s="82" t="s">
        <v>608</v>
      </c>
      <c r="B463" s="11" t="s">
        <v>614</v>
      </c>
      <c r="C463" s="16">
        <v>1.44</v>
      </c>
      <c r="D463" s="47" t="s">
        <v>630</v>
      </c>
    </row>
    <row r="464" spans="1:4" x14ac:dyDescent="0.2">
      <c r="A464" s="82" t="s">
        <v>609</v>
      </c>
      <c r="B464" s="11" t="s">
        <v>615</v>
      </c>
      <c r="C464" s="16">
        <v>1.44</v>
      </c>
      <c r="D464" s="2" t="s">
        <v>629</v>
      </c>
    </row>
    <row r="465" spans="1:4" x14ac:dyDescent="0.2">
      <c r="A465" s="82" t="s">
        <v>610</v>
      </c>
      <c r="B465" s="11" t="s">
        <v>616</v>
      </c>
      <c r="C465" s="16">
        <v>1.44</v>
      </c>
      <c r="D465" s="47" t="s">
        <v>630</v>
      </c>
    </row>
    <row r="466" spans="1:4" x14ac:dyDescent="0.2">
      <c r="A466" s="82" t="s">
        <v>611</v>
      </c>
      <c r="B466" s="11" t="s">
        <v>617</v>
      </c>
      <c r="C466" s="16">
        <v>1.44</v>
      </c>
      <c r="D466" s="2" t="s">
        <v>629</v>
      </c>
    </row>
    <row r="467" spans="1:4" x14ac:dyDescent="0.2">
      <c r="A467" s="82"/>
      <c r="B467" s="11"/>
      <c r="C467" s="11"/>
    </row>
    <row r="468" spans="1:4" x14ac:dyDescent="0.2">
      <c r="A468" s="82" t="s">
        <v>618</v>
      </c>
      <c r="B468" s="11" t="s">
        <v>619</v>
      </c>
      <c r="C468" s="16">
        <v>7.2</v>
      </c>
      <c r="D468" s="9" t="s">
        <v>628</v>
      </c>
    </row>
    <row r="469" spans="1:4" x14ac:dyDescent="0.2">
      <c r="A469" s="82" t="s">
        <v>620</v>
      </c>
      <c r="B469" s="11" t="s">
        <v>621</v>
      </c>
      <c r="C469" s="16">
        <v>7.2</v>
      </c>
      <c r="D469" s="48" t="s">
        <v>628</v>
      </c>
    </row>
    <row r="470" spans="1:4" x14ac:dyDescent="0.2">
      <c r="A470" s="82" t="s">
        <v>622</v>
      </c>
      <c r="B470" s="11" t="s">
        <v>623</v>
      </c>
      <c r="C470" s="16">
        <v>7.2</v>
      </c>
      <c r="D470" s="48" t="s">
        <v>628</v>
      </c>
    </row>
    <row r="471" spans="1:4" x14ac:dyDescent="0.2">
      <c r="A471" s="82" t="s">
        <v>624</v>
      </c>
      <c r="B471" s="11" t="s">
        <v>625</v>
      </c>
      <c r="C471" s="16">
        <v>7.2</v>
      </c>
      <c r="D471" s="48" t="s">
        <v>628</v>
      </c>
    </row>
    <row r="472" spans="1:4" x14ac:dyDescent="0.2">
      <c r="A472" s="82" t="s">
        <v>626</v>
      </c>
      <c r="B472" s="11" t="s">
        <v>627</v>
      </c>
      <c r="C472" s="16">
        <v>7.2</v>
      </c>
      <c r="D472" s="49" t="s">
        <v>628</v>
      </c>
    </row>
    <row r="473" spans="1:4" x14ac:dyDescent="0.2">
      <c r="A473" s="82"/>
    </row>
    <row r="474" spans="1:4" x14ac:dyDescent="0.2">
      <c r="A474" s="82" t="s">
        <v>631</v>
      </c>
      <c r="B474" s="10" t="s">
        <v>973</v>
      </c>
      <c r="C474" s="16">
        <v>6.5</v>
      </c>
      <c r="D474" s="11" t="s">
        <v>642</v>
      </c>
    </row>
    <row r="475" spans="1:4" x14ac:dyDescent="0.2">
      <c r="A475" s="82" t="s">
        <v>632</v>
      </c>
      <c r="B475" s="10" t="s">
        <v>633</v>
      </c>
      <c r="C475" s="16">
        <v>6.5</v>
      </c>
      <c r="D475" s="11" t="s">
        <v>642</v>
      </c>
    </row>
    <row r="476" spans="1:4" x14ac:dyDescent="0.2">
      <c r="A476" s="82" t="s">
        <v>634</v>
      </c>
      <c r="B476" s="10" t="s">
        <v>635</v>
      </c>
      <c r="C476" s="16">
        <v>6.5</v>
      </c>
      <c r="D476" s="11" t="s">
        <v>642</v>
      </c>
    </row>
    <row r="477" spans="1:4" x14ac:dyDescent="0.2">
      <c r="A477" s="82" t="s">
        <v>636</v>
      </c>
      <c r="B477" s="10" t="s">
        <v>637</v>
      </c>
      <c r="C477" s="16">
        <v>6.5</v>
      </c>
      <c r="D477" s="11" t="s">
        <v>642</v>
      </c>
    </row>
    <row r="478" spans="1:4" x14ac:dyDescent="0.2">
      <c r="A478" s="82" t="s">
        <v>638</v>
      </c>
      <c r="B478" s="10" t="s">
        <v>639</v>
      </c>
      <c r="C478" s="16">
        <v>6.5</v>
      </c>
      <c r="D478" s="11" t="s">
        <v>642</v>
      </c>
    </row>
    <row r="479" spans="1:4" x14ac:dyDescent="0.2">
      <c r="A479" s="82" t="s">
        <v>640</v>
      </c>
      <c r="B479" s="10" t="s">
        <v>641</v>
      </c>
      <c r="C479" s="16">
        <v>6.5</v>
      </c>
      <c r="D479" s="11" t="s">
        <v>642</v>
      </c>
    </row>
    <row r="480" spans="1:4" x14ac:dyDescent="0.2">
      <c r="A480" s="82"/>
    </row>
    <row r="481" spans="1:4" x14ac:dyDescent="0.2">
      <c r="A481" s="82" t="s">
        <v>643</v>
      </c>
      <c r="B481" s="11" t="s">
        <v>644</v>
      </c>
      <c r="C481" s="16">
        <v>6.8</v>
      </c>
      <c r="D481" s="11" t="s">
        <v>645</v>
      </c>
    </row>
    <row r="482" spans="1:4" x14ac:dyDescent="0.2">
      <c r="A482" s="82" t="s">
        <v>646</v>
      </c>
      <c r="B482" s="11" t="s">
        <v>647</v>
      </c>
      <c r="C482" s="16">
        <v>6.8</v>
      </c>
      <c r="D482" s="11" t="s">
        <v>645</v>
      </c>
    </row>
    <row r="483" spans="1:4" x14ac:dyDescent="0.2">
      <c r="A483" s="82"/>
    </row>
    <row r="484" spans="1:4" x14ac:dyDescent="0.2">
      <c r="A484" s="82" t="s">
        <v>648</v>
      </c>
      <c r="B484" s="11" t="s">
        <v>657</v>
      </c>
      <c r="C484" s="16">
        <v>1.81</v>
      </c>
      <c r="D484" s="11" t="s">
        <v>664</v>
      </c>
    </row>
    <row r="485" spans="1:4" x14ac:dyDescent="0.2">
      <c r="A485" s="82" t="s">
        <v>649</v>
      </c>
      <c r="B485" s="11" t="s">
        <v>931</v>
      </c>
      <c r="C485" s="16">
        <v>1.81</v>
      </c>
      <c r="D485" s="11" t="s">
        <v>664</v>
      </c>
    </row>
    <row r="486" spans="1:4" x14ac:dyDescent="0.2">
      <c r="A486" s="82" t="s">
        <v>650</v>
      </c>
      <c r="B486" s="11" t="s">
        <v>932</v>
      </c>
      <c r="C486" s="16">
        <v>1.81</v>
      </c>
      <c r="D486" s="11" t="s">
        <v>664</v>
      </c>
    </row>
    <row r="487" spans="1:4" x14ac:dyDescent="0.2">
      <c r="A487" s="82" t="s">
        <v>651</v>
      </c>
      <c r="B487" s="11" t="s">
        <v>658</v>
      </c>
      <c r="C487" s="16">
        <v>1.81</v>
      </c>
      <c r="D487" s="11" t="s">
        <v>664</v>
      </c>
    </row>
    <row r="488" spans="1:4" x14ac:dyDescent="0.2">
      <c r="A488" s="82" t="s">
        <v>652</v>
      </c>
      <c r="B488" s="11" t="s">
        <v>659</v>
      </c>
      <c r="C488" s="16">
        <v>1.81</v>
      </c>
      <c r="D488" s="11" t="s">
        <v>664</v>
      </c>
    </row>
    <row r="489" spans="1:4" x14ac:dyDescent="0.2">
      <c r="A489" s="82" t="s">
        <v>653</v>
      </c>
      <c r="B489" s="11" t="s">
        <v>660</v>
      </c>
      <c r="C489" s="16">
        <v>1.81</v>
      </c>
      <c r="D489" s="11" t="s">
        <v>664</v>
      </c>
    </row>
    <row r="490" spans="1:4" x14ac:dyDescent="0.2">
      <c r="A490" s="82" t="s">
        <v>654</v>
      </c>
      <c r="B490" s="11" t="s">
        <v>661</v>
      </c>
      <c r="C490" s="16">
        <v>1.81</v>
      </c>
      <c r="D490" s="11" t="s">
        <v>664</v>
      </c>
    </row>
    <row r="491" spans="1:4" x14ac:dyDescent="0.2">
      <c r="A491" s="82" t="s">
        <v>655</v>
      </c>
      <c r="B491" s="11" t="s">
        <v>662</v>
      </c>
      <c r="C491" s="16">
        <v>1.81</v>
      </c>
      <c r="D491" s="11" t="s">
        <v>664</v>
      </c>
    </row>
    <row r="492" spans="1:4" x14ac:dyDescent="0.2">
      <c r="A492" s="82" t="s">
        <v>656</v>
      </c>
      <c r="B492" s="11" t="s">
        <v>663</v>
      </c>
      <c r="C492" s="16">
        <v>1.81</v>
      </c>
      <c r="D492" s="11" t="s">
        <v>664</v>
      </c>
    </row>
    <row r="493" spans="1:4" x14ac:dyDescent="0.2">
      <c r="A493" s="82" t="s">
        <v>665</v>
      </c>
      <c r="B493" s="11" t="s">
        <v>666</v>
      </c>
      <c r="C493" s="16">
        <v>1.81</v>
      </c>
      <c r="D493" s="11" t="s">
        <v>664</v>
      </c>
    </row>
    <row r="494" spans="1:4" x14ac:dyDescent="0.2">
      <c r="A494" s="82"/>
      <c r="B494" s="11"/>
      <c r="C494" s="11"/>
      <c r="D494" s="11"/>
    </row>
    <row r="495" spans="1:4" x14ac:dyDescent="0.2">
      <c r="A495" s="82" t="s">
        <v>690</v>
      </c>
      <c r="B495" s="11" t="s">
        <v>702</v>
      </c>
      <c r="C495" s="16">
        <v>0.86</v>
      </c>
      <c r="D495" s="11" t="s">
        <v>1249</v>
      </c>
    </row>
    <row r="496" spans="1:4" x14ac:dyDescent="0.2">
      <c r="A496" s="82" t="s">
        <v>691</v>
      </c>
      <c r="B496" s="11" t="s">
        <v>974</v>
      </c>
      <c r="C496" s="16">
        <v>0.86</v>
      </c>
      <c r="D496" s="11" t="s">
        <v>1249</v>
      </c>
    </row>
    <row r="497" spans="1:4" x14ac:dyDescent="0.2">
      <c r="A497" s="82" t="s">
        <v>692</v>
      </c>
      <c r="B497" s="11" t="s">
        <v>930</v>
      </c>
      <c r="C497" s="16">
        <v>0.86</v>
      </c>
      <c r="D497" s="11" t="s">
        <v>1249</v>
      </c>
    </row>
    <row r="498" spans="1:4" x14ac:dyDescent="0.2">
      <c r="A498" s="82" t="s">
        <v>693</v>
      </c>
      <c r="B498" s="11" t="s">
        <v>703</v>
      </c>
      <c r="C498" s="16">
        <v>0.86</v>
      </c>
      <c r="D498" s="11" t="s">
        <v>1249</v>
      </c>
    </row>
    <row r="499" spans="1:4" x14ac:dyDescent="0.2">
      <c r="A499" s="82" t="s">
        <v>694</v>
      </c>
      <c r="B499" s="11" t="s">
        <v>705</v>
      </c>
      <c r="C499" s="16">
        <v>0.86</v>
      </c>
      <c r="D499" s="11" t="s">
        <v>1249</v>
      </c>
    </row>
    <row r="500" spans="1:4" x14ac:dyDescent="0.2">
      <c r="A500" s="82" t="s">
        <v>695</v>
      </c>
      <c r="B500" s="11" t="s">
        <v>704</v>
      </c>
      <c r="C500" s="16">
        <v>0.86</v>
      </c>
      <c r="D500" s="11" t="s">
        <v>1249</v>
      </c>
    </row>
    <row r="501" spans="1:4" x14ac:dyDescent="0.2">
      <c r="A501" s="82" t="s">
        <v>696</v>
      </c>
      <c r="B501" s="11" t="s">
        <v>706</v>
      </c>
      <c r="C501" s="16">
        <v>0.86</v>
      </c>
      <c r="D501" s="11" t="s">
        <v>1249</v>
      </c>
    </row>
    <row r="502" spans="1:4" x14ac:dyDescent="0.2">
      <c r="A502" s="82" t="s">
        <v>697</v>
      </c>
      <c r="B502" s="11" t="s">
        <v>707</v>
      </c>
      <c r="C502" s="16">
        <v>0.86</v>
      </c>
      <c r="D502" s="11" t="s">
        <v>1249</v>
      </c>
    </row>
    <row r="503" spans="1:4" x14ac:dyDescent="0.2">
      <c r="A503" s="82" t="s">
        <v>698</v>
      </c>
      <c r="B503" s="11" t="s">
        <v>708</v>
      </c>
      <c r="C503" s="16">
        <v>0.86</v>
      </c>
      <c r="D503" s="11" t="s">
        <v>1249</v>
      </c>
    </row>
    <row r="504" spans="1:4" x14ac:dyDescent="0.2">
      <c r="A504" s="82" t="s">
        <v>699</v>
      </c>
      <c r="B504" s="11" t="s">
        <v>709</v>
      </c>
      <c r="C504" s="16">
        <v>0.86</v>
      </c>
      <c r="D504" s="11" t="s">
        <v>1249</v>
      </c>
    </row>
    <row r="505" spans="1:4" x14ac:dyDescent="0.2">
      <c r="A505" s="82" t="s">
        <v>700</v>
      </c>
      <c r="B505" s="11" t="s">
        <v>710</v>
      </c>
      <c r="C505" s="16">
        <v>0.86</v>
      </c>
      <c r="D505" s="11" t="s">
        <v>1249</v>
      </c>
    </row>
    <row r="506" spans="1:4" x14ac:dyDescent="0.2">
      <c r="A506" s="82" t="s">
        <v>701</v>
      </c>
      <c r="B506" s="11" t="s">
        <v>929</v>
      </c>
      <c r="C506" s="16">
        <v>0.86</v>
      </c>
      <c r="D506" s="11" t="s">
        <v>1249</v>
      </c>
    </row>
    <row r="507" spans="1:4" x14ac:dyDescent="0.2">
      <c r="A507" s="82"/>
      <c r="B507" s="11"/>
      <c r="C507" s="11"/>
      <c r="D507" s="11"/>
    </row>
    <row r="508" spans="1:4" x14ac:dyDescent="0.2">
      <c r="A508" s="82" t="s">
        <v>718</v>
      </c>
      <c r="B508" s="11" t="s">
        <v>719</v>
      </c>
      <c r="C508" s="16">
        <v>1.76</v>
      </c>
      <c r="D508" s="11" t="s">
        <v>746</v>
      </c>
    </row>
    <row r="509" spans="1:4" x14ac:dyDescent="0.2">
      <c r="A509" s="82" t="s">
        <v>720</v>
      </c>
      <c r="B509" s="11" t="s">
        <v>721</v>
      </c>
      <c r="C509" s="16">
        <v>1.76</v>
      </c>
      <c r="D509" s="11" t="s">
        <v>746</v>
      </c>
    </row>
    <row r="510" spans="1:4" x14ac:dyDescent="0.2">
      <c r="A510" s="82" t="s">
        <v>722</v>
      </c>
      <c r="B510" s="11" t="s">
        <v>723</v>
      </c>
      <c r="C510" s="16">
        <v>1.76</v>
      </c>
      <c r="D510" s="11" t="s">
        <v>746</v>
      </c>
    </row>
    <row r="511" spans="1:4" x14ac:dyDescent="0.2">
      <c r="A511" s="82" t="s">
        <v>724</v>
      </c>
      <c r="B511" s="11" t="s">
        <v>725</v>
      </c>
      <c r="C511" s="16">
        <v>1.76</v>
      </c>
      <c r="D511" s="11" t="s">
        <v>746</v>
      </c>
    </row>
    <row r="512" spans="1:4" x14ac:dyDescent="0.2">
      <c r="A512" s="82" t="s">
        <v>726</v>
      </c>
      <c r="B512" s="11" t="s">
        <v>927</v>
      </c>
      <c r="C512" s="16">
        <v>1.76</v>
      </c>
      <c r="D512" s="11" t="s">
        <v>746</v>
      </c>
    </row>
    <row r="513" spans="1:4" x14ac:dyDescent="0.2">
      <c r="A513" s="82" t="s">
        <v>727</v>
      </c>
      <c r="B513" s="11" t="s">
        <v>928</v>
      </c>
      <c r="C513" s="16">
        <v>1.76</v>
      </c>
      <c r="D513" s="11" t="s">
        <v>746</v>
      </c>
    </row>
    <row r="514" spans="1:4" x14ac:dyDescent="0.2">
      <c r="A514" s="82" t="s">
        <v>728</v>
      </c>
      <c r="B514" s="11" t="s">
        <v>729</v>
      </c>
      <c r="C514" s="16">
        <v>1.76</v>
      </c>
      <c r="D514" s="11" t="s">
        <v>746</v>
      </c>
    </row>
    <row r="515" spans="1:4" x14ac:dyDescent="0.2">
      <c r="A515" s="82"/>
    </row>
    <row r="516" spans="1:4" x14ac:dyDescent="0.2">
      <c r="A516" s="82" t="s">
        <v>730</v>
      </c>
      <c r="B516" s="11" t="s">
        <v>731</v>
      </c>
      <c r="C516" s="16">
        <v>2</v>
      </c>
      <c r="D516" s="11" t="s">
        <v>747</v>
      </c>
    </row>
    <row r="517" spans="1:4" x14ac:dyDescent="0.2">
      <c r="A517" s="82" t="s">
        <v>732</v>
      </c>
      <c r="B517" s="11" t="s">
        <v>733</v>
      </c>
      <c r="C517" s="16">
        <v>2</v>
      </c>
      <c r="D517" s="11" t="s">
        <v>747</v>
      </c>
    </row>
    <row r="518" spans="1:4" x14ac:dyDescent="0.2">
      <c r="A518" s="82" t="s">
        <v>734</v>
      </c>
      <c r="B518" s="11" t="s">
        <v>736</v>
      </c>
      <c r="C518" s="16">
        <v>2</v>
      </c>
      <c r="D518" s="11" t="s">
        <v>747</v>
      </c>
    </row>
    <row r="519" spans="1:4" x14ac:dyDescent="0.2">
      <c r="A519" s="82" t="s">
        <v>737</v>
      </c>
      <c r="B519" s="11" t="s">
        <v>735</v>
      </c>
      <c r="C519" s="16">
        <v>2</v>
      </c>
      <c r="D519" s="11" t="s">
        <v>747</v>
      </c>
    </row>
    <row r="520" spans="1:4" x14ac:dyDescent="0.2">
      <c r="A520" s="82" t="s">
        <v>738</v>
      </c>
      <c r="B520" s="11" t="s">
        <v>739</v>
      </c>
      <c r="C520" s="16">
        <v>2</v>
      </c>
      <c r="D520" s="11" t="s">
        <v>747</v>
      </c>
    </row>
    <row r="521" spans="1:4" x14ac:dyDescent="0.2">
      <c r="A521" s="82" t="s">
        <v>740</v>
      </c>
      <c r="B521" s="11" t="s">
        <v>741</v>
      </c>
      <c r="C521" s="16">
        <v>2</v>
      </c>
      <c r="D521" s="11" t="s">
        <v>747</v>
      </c>
    </row>
    <row r="522" spans="1:4" x14ac:dyDescent="0.2">
      <c r="A522" s="82" t="s">
        <v>742</v>
      </c>
      <c r="B522" s="11" t="s">
        <v>743</v>
      </c>
      <c r="C522" s="16">
        <v>2</v>
      </c>
      <c r="D522" s="11" t="s">
        <v>747</v>
      </c>
    </row>
    <row r="523" spans="1:4" x14ac:dyDescent="0.2">
      <c r="A523" s="82" t="s">
        <v>744</v>
      </c>
      <c r="B523" s="11" t="s">
        <v>745</v>
      </c>
      <c r="C523" s="16">
        <v>2</v>
      </c>
      <c r="D523" s="11" t="s">
        <v>747</v>
      </c>
    </row>
    <row r="524" spans="1:4" x14ac:dyDescent="0.2">
      <c r="A524" s="82"/>
    </row>
    <row r="525" spans="1:4" x14ac:dyDescent="0.2">
      <c r="A525" s="82" t="s">
        <v>748</v>
      </c>
      <c r="B525" s="11" t="s">
        <v>749</v>
      </c>
      <c r="C525" s="16">
        <v>13.51</v>
      </c>
      <c r="D525" s="11" t="s">
        <v>750</v>
      </c>
    </row>
    <row r="526" spans="1:4" x14ac:dyDescent="0.2">
      <c r="A526" s="82" t="s">
        <v>751</v>
      </c>
      <c r="B526" s="11" t="s">
        <v>752</v>
      </c>
      <c r="C526" s="16">
        <v>13.51</v>
      </c>
      <c r="D526" s="11" t="s">
        <v>750</v>
      </c>
    </row>
    <row r="527" spans="1:4" x14ac:dyDescent="0.2">
      <c r="A527" s="82" t="s">
        <v>753</v>
      </c>
      <c r="B527" s="11" t="s">
        <v>754</v>
      </c>
      <c r="C527" s="16">
        <v>13.51</v>
      </c>
      <c r="D527" s="11" t="s">
        <v>750</v>
      </c>
    </row>
    <row r="528" spans="1:4" x14ac:dyDescent="0.2">
      <c r="A528" s="82" t="s">
        <v>755</v>
      </c>
      <c r="B528" s="11" t="s">
        <v>756</v>
      </c>
      <c r="C528" s="16">
        <v>13.51</v>
      </c>
      <c r="D528" s="11" t="s">
        <v>750</v>
      </c>
    </row>
    <row r="529" spans="1:4" x14ac:dyDescent="0.2">
      <c r="A529" s="82"/>
    </row>
    <row r="530" spans="1:4" x14ac:dyDescent="0.2">
      <c r="A530" s="82" t="s">
        <v>757</v>
      </c>
      <c r="B530" s="11" t="s">
        <v>758</v>
      </c>
      <c r="C530" s="16">
        <v>5.56</v>
      </c>
      <c r="D530" s="11" t="s">
        <v>777</v>
      </c>
    </row>
    <row r="531" spans="1:4" x14ac:dyDescent="0.2">
      <c r="A531" s="82" t="s">
        <v>759</v>
      </c>
      <c r="B531" s="11" t="s">
        <v>760</v>
      </c>
      <c r="C531" s="16">
        <v>5.56</v>
      </c>
      <c r="D531" s="11" t="s">
        <v>777</v>
      </c>
    </row>
    <row r="532" spans="1:4" x14ac:dyDescent="0.2">
      <c r="A532" s="82" t="s">
        <v>761</v>
      </c>
      <c r="B532" s="11" t="s">
        <v>762</v>
      </c>
      <c r="C532" s="16">
        <v>5.56</v>
      </c>
      <c r="D532" s="11" t="s">
        <v>777</v>
      </c>
    </row>
    <row r="533" spans="1:4" x14ac:dyDescent="0.2">
      <c r="A533" s="82" t="s">
        <v>763</v>
      </c>
      <c r="B533" s="11" t="s">
        <v>764</v>
      </c>
      <c r="C533" s="16">
        <v>5.56</v>
      </c>
      <c r="D533" s="11" t="s">
        <v>777</v>
      </c>
    </row>
    <row r="534" spans="1:4" x14ac:dyDescent="0.2">
      <c r="A534" s="82" t="s">
        <v>765</v>
      </c>
      <c r="B534" s="11" t="s">
        <v>766</v>
      </c>
      <c r="C534" s="16">
        <v>5.56</v>
      </c>
      <c r="D534" s="11" t="s">
        <v>777</v>
      </c>
    </row>
    <row r="535" spans="1:4" x14ac:dyDescent="0.2">
      <c r="A535" s="82" t="s">
        <v>767</v>
      </c>
      <c r="B535" s="11" t="s">
        <v>768</v>
      </c>
      <c r="C535" s="16">
        <v>5.56</v>
      </c>
      <c r="D535" s="11" t="s">
        <v>777</v>
      </c>
    </row>
    <row r="536" spans="1:4" x14ac:dyDescent="0.2">
      <c r="A536" s="82" t="s">
        <v>769</v>
      </c>
      <c r="B536" s="11" t="s">
        <v>770</v>
      </c>
      <c r="C536" s="16">
        <v>5.56</v>
      </c>
      <c r="D536" s="11" t="s">
        <v>777</v>
      </c>
    </row>
    <row r="537" spans="1:4" x14ac:dyDescent="0.2">
      <c r="A537" s="82" t="s">
        <v>771</v>
      </c>
      <c r="B537" s="11" t="s">
        <v>778</v>
      </c>
      <c r="C537" s="16">
        <v>5.56</v>
      </c>
      <c r="D537" s="11" t="s">
        <v>777</v>
      </c>
    </row>
    <row r="538" spans="1:4" x14ac:dyDescent="0.2">
      <c r="A538" s="82" t="s">
        <v>772</v>
      </c>
      <c r="B538" s="11" t="s">
        <v>773</v>
      </c>
      <c r="C538" s="16">
        <v>5.56</v>
      </c>
      <c r="D538" s="11" t="s">
        <v>777</v>
      </c>
    </row>
    <row r="539" spans="1:4" x14ac:dyDescent="0.2">
      <c r="A539" s="82" t="s">
        <v>774</v>
      </c>
      <c r="B539" s="11" t="s">
        <v>1049</v>
      </c>
      <c r="C539" s="16">
        <v>5.56</v>
      </c>
      <c r="D539" s="11" t="s">
        <v>777</v>
      </c>
    </row>
    <row r="540" spans="1:4" x14ac:dyDescent="0.2">
      <c r="A540" s="82" t="s">
        <v>775</v>
      </c>
      <c r="B540" s="11" t="s">
        <v>776</v>
      </c>
      <c r="C540" s="16">
        <v>5.56</v>
      </c>
      <c r="D540" s="11" t="s">
        <v>777</v>
      </c>
    </row>
    <row r="542" spans="1:4" x14ac:dyDescent="0.2">
      <c r="A542" s="82" t="s">
        <v>779</v>
      </c>
      <c r="B542" s="11" t="s">
        <v>780</v>
      </c>
      <c r="C542" s="84">
        <v>8.6999999999999993</v>
      </c>
      <c r="D542" s="11" t="s">
        <v>781</v>
      </c>
    </row>
    <row r="543" spans="1:4" x14ac:dyDescent="0.2">
      <c r="A543" s="82" t="s">
        <v>782</v>
      </c>
      <c r="B543" s="11" t="s">
        <v>783</v>
      </c>
      <c r="C543" s="84">
        <v>8.6999999999999993</v>
      </c>
      <c r="D543" s="11" t="s">
        <v>781</v>
      </c>
    </row>
    <row r="544" spans="1:4" x14ac:dyDescent="0.2">
      <c r="A544" s="82" t="s">
        <v>784</v>
      </c>
      <c r="B544" s="11" t="s">
        <v>785</v>
      </c>
      <c r="C544" s="84">
        <v>8.6999999999999993</v>
      </c>
      <c r="D544" s="11" t="s">
        <v>781</v>
      </c>
    </row>
    <row r="545" spans="1:4" x14ac:dyDescent="0.2">
      <c r="A545" s="82" t="s">
        <v>786</v>
      </c>
      <c r="B545" s="11" t="s">
        <v>787</v>
      </c>
      <c r="C545" s="84">
        <v>8.6999999999999993</v>
      </c>
      <c r="D545" s="11" t="s">
        <v>781</v>
      </c>
    </row>
    <row r="546" spans="1:4" x14ac:dyDescent="0.2">
      <c r="A546" s="82" t="s">
        <v>788</v>
      </c>
      <c r="B546" s="11" t="s">
        <v>789</v>
      </c>
      <c r="C546" s="84">
        <v>8.6999999999999993</v>
      </c>
      <c r="D546" s="11" t="s">
        <v>781</v>
      </c>
    </row>
    <row r="547" spans="1:4" x14ac:dyDescent="0.2">
      <c r="A547" s="82" t="s">
        <v>790</v>
      </c>
      <c r="B547" s="11" t="s">
        <v>791</v>
      </c>
      <c r="C547" s="84">
        <v>8.6999999999999993</v>
      </c>
      <c r="D547" s="11" t="s">
        <v>781</v>
      </c>
    </row>
    <row r="548" spans="1:4" x14ac:dyDescent="0.2">
      <c r="A548" s="82"/>
      <c r="B548" s="11"/>
      <c r="C548" s="11"/>
      <c r="D548" s="11"/>
    </row>
    <row r="549" spans="1:4" ht="15" x14ac:dyDescent="0.25">
      <c r="A549" s="86" t="s">
        <v>792</v>
      </c>
      <c r="B549" s="11" t="s">
        <v>794</v>
      </c>
      <c r="C549" s="85">
        <v>6.8</v>
      </c>
      <c r="D549" s="11" t="s">
        <v>645</v>
      </c>
    </row>
    <row r="550" spans="1:4" ht="15" x14ac:dyDescent="0.25">
      <c r="A550" s="86" t="s">
        <v>793</v>
      </c>
      <c r="B550" s="11" t="s">
        <v>795</v>
      </c>
      <c r="C550" s="85">
        <v>6.8</v>
      </c>
      <c r="D550" s="11" t="s">
        <v>645</v>
      </c>
    </row>
    <row r="552" spans="1:4" ht="15" x14ac:dyDescent="0.25">
      <c r="A552" s="86" t="s">
        <v>796</v>
      </c>
      <c r="B552" s="86" t="s">
        <v>797</v>
      </c>
      <c r="C552" s="84">
        <v>1.68</v>
      </c>
      <c r="D552" s="11" t="s">
        <v>811</v>
      </c>
    </row>
    <row r="553" spans="1:4" ht="15" x14ac:dyDescent="0.25">
      <c r="A553" s="86" t="s">
        <v>798</v>
      </c>
      <c r="B553" s="86" t="s">
        <v>926</v>
      </c>
      <c r="C553" s="84">
        <v>1.68</v>
      </c>
      <c r="D553" s="11" t="s">
        <v>811</v>
      </c>
    </row>
    <row r="554" spans="1:4" ht="15" x14ac:dyDescent="0.25">
      <c r="A554" s="86" t="s">
        <v>799</v>
      </c>
      <c r="B554" s="86" t="s">
        <v>800</v>
      </c>
      <c r="C554" s="84">
        <v>1.68</v>
      </c>
      <c r="D554" s="11" t="s">
        <v>811</v>
      </c>
    </row>
    <row r="555" spans="1:4" ht="15" x14ac:dyDescent="0.25">
      <c r="A555" s="86" t="s">
        <v>801</v>
      </c>
      <c r="B555" s="86" t="s">
        <v>802</v>
      </c>
      <c r="C555" s="84">
        <v>1.68</v>
      </c>
      <c r="D555" s="11" t="s">
        <v>811</v>
      </c>
    </row>
    <row r="556" spans="1:4" ht="15" x14ac:dyDescent="0.25">
      <c r="A556" s="86" t="s">
        <v>803</v>
      </c>
      <c r="B556" s="86" t="s">
        <v>804</v>
      </c>
      <c r="C556" s="84">
        <v>1.68</v>
      </c>
      <c r="D556" s="11" t="s">
        <v>811</v>
      </c>
    </row>
    <row r="557" spans="1:4" ht="15" x14ac:dyDescent="0.25">
      <c r="A557" s="86" t="s">
        <v>805</v>
      </c>
      <c r="B557" s="86" t="s">
        <v>806</v>
      </c>
      <c r="C557" s="84">
        <v>1.68</v>
      </c>
      <c r="D557" s="11" t="s">
        <v>811</v>
      </c>
    </row>
    <row r="558" spans="1:4" ht="15" x14ac:dyDescent="0.25">
      <c r="A558" s="86" t="s">
        <v>807</v>
      </c>
      <c r="B558" s="86" t="s">
        <v>808</v>
      </c>
      <c r="C558" s="84">
        <v>1.68</v>
      </c>
      <c r="D558" s="11" t="s">
        <v>811</v>
      </c>
    </row>
    <row r="559" spans="1:4" ht="15" x14ac:dyDescent="0.25">
      <c r="A559" s="86" t="s">
        <v>809</v>
      </c>
      <c r="B559" s="86" t="s">
        <v>810</v>
      </c>
      <c r="C559" s="84">
        <v>1.68</v>
      </c>
      <c r="D559" s="11" t="s">
        <v>811</v>
      </c>
    </row>
    <row r="560" spans="1:4" ht="15" x14ac:dyDescent="0.25">
      <c r="A560" s="92" t="s">
        <v>835</v>
      </c>
      <c r="B560" s="91" t="s">
        <v>925</v>
      </c>
      <c r="C560" s="84">
        <v>1.68</v>
      </c>
      <c r="D560" s="11" t="s">
        <v>811</v>
      </c>
    </row>
    <row r="561" spans="1:143" x14ac:dyDescent="0.2">
      <c r="A561" s="82"/>
      <c r="B561" s="11"/>
      <c r="C561" s="11"/>
      <c r="D561" s="11"/>
    </row>
    <row r="562" spans="1:143" x14ac:dyDescent="0.2">
      <c r="A562" s="82" t="s">
        <v>814</v>
      </c>
      <c r="B562" s="11" t="s">
        <v>923</v>
      </c>
      <c r="C562" s="84">
        <v>2.41</v>
      </c>
      <c r="D562" s="11" t="s">
        <v>834</v>
      </c>
    </row>
    <row r="563" spans="1:143" x14ac:dyDescent="0.2">
      <c r="A563" s="82" t="s">
        <v>815</v>
      </c>
      <c r="B563" s="11" t="s">
        <v>812</v>
      </c>
      <c r="C563" s="84">
        <v>2.41</v>
      </c>
      <c r="D563" s="11" t="s">
        <v>834</v>
      </c>
    </row>
    <row r="564" spans="1:143" x14ac:dyDescent="0.2">
      <c r="A564" s="83" t="s">
        <v>816</v>
      </c>
      <c r="B564" s="1" t="s">
        <v>813</v>
      </c>
      <c r="C564" s="84">
        <v>2.41</v>
      </c>
      <c r="D564" s="11" t="s">
        <v>834</v>
      </c>
    </row>
    <row r="565" spans="1:143" x14ac:dyDescent="0.2">
      <c r="A565" s="82" t="s">
        <v>817</v>
      </c>
      <c r="B565" s="11" t="s">
        <v>924</v>
      </c>
      <c r="C565" s="84">
        <v>2.41</v>
      </c>
      <c r="D565" s="11" t="s">
        <v>834</v>
      </c>
    </row>
    <row r="566" spans="1:143" x14ac:dyDescent="0.2">
      <c r="A566" s="82"/>
      <c r="B566" s="11"/>
      <c r="C566" s="11"/>
      <c r="D566" s="11"/>
    </row>
    <row r="567" spans="1:143" ht="15" x14ac:dyDescent="0.25">
      <c r="A567" s="91" t="s">
        <v>818</v>
      </c>
      <c r="B567" s="91" t="s">
        <v>819</v>
      </c>
      <c r="C567" s="84">
        <v>8.6</v>
      </c>
      <c r="D567" s="11" t="s">
        <v>1250</v>
      </c>
    </row>
    <row r="568" spans="1:143" ht="15" x14ac:dyDescent="0.25">
      <c r="A568" s="91" t="s">
        <v>820</v>
      </c>
      <c r="B568" s="91" t="s">
        <v>821</v>
      </c>
      <c r="C568" s="84">
        <v>8.6</v>
      </c>
      <c r="D568" s="11" t="s">
        <v>1250</v>
      </c>
    </row>
    <row r="569" spans="1:143" ht="15" x14ac:dyDescent="0.25">
      <c r="A569" s="91" t="s">
        <v>822</v>
      </c>
      <c r="B569" s="91" t="s">
        <v>823</v>
      </c>
      <c r="C569" s="84">
        <v>8.6</v>
      </c>
      <c r="D569" s="11" t="s">
        <v>1250</v>
      </c>
    </row>
    <row r="570" spans="1:143" ht="15" x14ac:dyDescent="0.25">
      <c r="A570" s="91" t="s">
        <v>824</v>
      </c>
      <c r="B570" s="91" t="s">
        <v>825</v>
      </c>
      <c r="C570" s="84">
        <v>8.6</v>
      </c>
      <c r="D570" s="11" t="s">
        <v>1250</v>
      </c>
    </row>
    <row r="571" spans="1:143" ht="15" x14ac:dyDescent="0.25">
      <c r="A571" s="91" t="s">
        <v>826</v>
      </c>
      <c r="B571" s="91" t="s">
        <v>827</v>
      </c>
      <c r="C571" s="84">
        <v>8.6</v>
      </c>
      <c r="D571" s="11" t="s">
        <v>1250</v>
      </c>
    </row>
    <row r="572" spans="1:143" ht="15" x14ac:dyDescent="0.25">
      <c r="A572" s="91" t="s">
        <v>828</v>
      </c>
      <c r="B572" s="91" t="s">
        <v>829</v>
      </c>
      <c r="C572" s="84">
        <v>8.6</v>
      </c>
      <c r="D572" s="11" t="s">
        <v>1250</v>
      </c>
    </row>
    <row r="573" spans="1:143" s="11" customFormat="1" ht="15" x14ac:dyDescent="0.25">
      <c r="A573" s="91" t="s">
        <v>830</v>
      </c>
      <c r="B573" s="91" t="s">
        <v>831</v>
      </c>
      <c r="C573" s="84">
        <v>8.6</v>
      </c>
      <c r="D573" s="11" t="s">
        <v>1250</v>
      </c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7"/>
      <c r="CT573" s="7"/>
      <c r="CU573" s="7"/>
      <c r="CV573" s="7"/>
      <c r="CW573" s="7"/>
      <c r="CX573" s="7"/>
      <c r="CY573" s="7"/>
      <c r="CZ573" s="7"/>
      <c r="DA573" s="7"/>
      <c r="DB573" s="7"/>
      <c r="DC573" s="7"/>
      <c r="DD573" s="7"/>
      <c r="DE573" s="7"/>
      <c r="DF573" s="7"/>
      <c r="DG573" s="7"/>
      <c r="DH573" s="7"/>
      <c r="DI573" s="7"/>
      <c r="DJ573" s="7"/>
      <c r="DK573" s="7"/>
      <c r="DL573" s="7"/>
      <c r="DM573" s="7"/>
      <c r="DN573" s="7"/>
      <c r="DO573" s="7"/>
      <c r="DP573" s="7"/>
      <c r="DQ573" s="7"/>
      <c r="DR573" s="7"/>
      <c r="DS573" s="7"/>
      <c r="DT573" s="7"/>
      <c r="DU573" s="7"/>
      <c r="DV573" s="7"/>
      <c r="DW573" s="7"/>
      <c r="DX573" s="7"/>
      <c r="DY573" s="7"/>
      <c r="DZ573" s="7"/>
      <c r="EA573" s="7"/>
      <c r="EB573" s="7"/>
      <c r="EC573" s="7"/>
      <c r="ED573" s="7"/>
      <c r="EE573" s="7"/>
      <c r="EF573" s="7"/>
      <c r="EG573" s="7"/>
      <c r="EH573" s="7"/>
      <c r="EI573" s="7"/>
      <c r="EJ573" s="7"/>
      <c r="EK573" s="7"/>
      <c r="EL573" s="7"/>
      <c r="EM573" s="7"/>
    </row>
    <row r="574" spans="1:143" ht="15" x14ac:dyDescent="0.25">
      <c r="A574" s="91" t="s">
        <v>832</v>
      </c>
      <c r="B574" s="91" t="s">
        <v>833</v>
      </c>
      <c r="C574" s="84">
        <v>8.6</v>
      </c>
      <c r="D574" s="11" t="s">
        <v>1250</v>
      </c>
    </row>
    <row r="575" spans="1:143" x14ac:dyDescent="0.2">
      <c r="A575" s="82"/>
      <c r="B575" s="11"/>
      <c r="C575" s="84"/>
      <c r="D575" s="11"/>
    </row>
    <row r="576" spans="1:143" ht="15" x14ac:dyDescent="0.25">
      <c r="A576" s="94" t="s">
        <v>837</v>
      </c>
      <c r="B576" s="94" t="s">
        <v>838</v>
      </c>
      <c r="C576" s="85">
        <v>1.98</v>
      </c>
      <c r="D576" s="1" t="s">
        <v>853</v>
      </c>
    </row>
    <row r="577" spans="1:4" ht="15" x14ac:dyDescent="0.25">
      <c r="A577" s="94" t="s">
        <v>839</v>
      </c>
      <c r="B577" s="94" t="s">
        <v>919</v>
      </c>
      <c r="C577" s="85">
        <v>1.98</v>
      </c>
      <c r="D577" s="10" t="s">
        <v>853</v>
      </c>
    </row>
    <row r="578" spans="1:4" ht="15" x14ac:dyDescent="0.25">
      <c r="A578" s="94" t="s">
        <v>840</v>
      </c>
      <c r="B578" s="94" t="s">
        <v>841</v>
      </c>
      <c r="C578" s="85">
        <v>1.98</v>
      </c>
      <c r="D578" s="10" t="s">
        <v>853</v>
      </c>
    </row>
    <row r="579" spans="1:4" ht="15" x14ac:dyDescent="0.25">
      <c r="A579" s="94" t="s">
        <v>842</v>
      </c>
      <c r="B579" s="94" t="s">
        <v>843</v>
      </c>
      <c r="C579" s="85">
        <v>1.98</v>
      </c>
      <c r="D579" s="10" t="s">
        <v>853</v>
      </c>
    </row>
    <row r="580" spans="1:4" ht="15" x14ac:dyDescent="0.25">
      <c r="A580" s="94" t="s">
        <v>844</v>
      </c>
      <c r="B580" s="94" t="s">
        <v>845</v>
      </c>
      <c r="C580" s="85">
        <v>1.98</v>
      </c>
      <c r="D580" s="10" t="s">
        <v>853</v>
      </c>
    </row>
    <row r="581" spans="1:4" ht="15" x14ac:dyDescent="0.25">
      <c r="A581" s="94" t="s">
        <v>846</v>
      </c>
      <c r="B581" s="94" t="s">
        <v>918</v>
      </c>
      <c r="C581" s="85">
        <v>1.98</v>
      </c>
      <c r="D581" s="10" t="s">
        <v>853</v>
      </c>
    </row>
    <row r="582" spans="1:4" ht="15" x14ac:dyDescent="0.25">
      <c r="A582" s="94" t="s">
        <v>847</v>
      </c>
      <c r="B582" s="94" t="s">
        <v>848</v>
      </c>
      <c r="C582" s="85">
        <v>1.98</v>
      </c>
      <c r="D582" s="10" t="s">
        <v>853</v>
      </c>
    </row>
    <row r="583" spans="1:4" ht="15" x14ac:dyDescent="0.25">
      <c r="A583" s="94" t="s">
        <v>849</v>
      </c>
      <c r="B583" s="94" t="s">
        <v>850</v>
      </c>
      <c r="C583" s="85">
        <v>1.98</v>
      </c>
      <c r="D583" s="10" t="s">
        <v>853</v>
      </c>
    </row>
    <row r="584" spans="1:4" ht="15" x14ac:dyDescent="0.25">
      <c r="A584" s="94" t="s">
        <v>851</v>
      </c>
      <c r="B584" s="94" t="s">
        <v>852</v>
      </c>
      <c r="C584" s="85">
        <v>1.98</v>
      </c>
      <c r="D584" s="10" t="s">
        <v>853</v>
      </c>
    </row>
    <row r="585" spans="1:4" ht="15" x14ac:dyDescent="0.25">
      <c r="A585" s="105" t="s">
        <v>1051</v>
      </c>
      <c r="B585" s="105" t="s">
        <v>1050</v>
      </c>
      <c r="C585" s="85">
        <v>1.98</v>
      </c>
      <c r="D585" s="10" t="s">
        <v>853</v>
      </c>
    </row>
    <row r="587" spans="1:4" ht="15" x14ac:dyDescent="0.25">
      <c r="A587" s="94" t="s">
        <v>855</v>
      </c>
      <c r="B587" s="94" t="s">
        <v>862</v>
      </c>
      <c r="C587" s="16">
        <v>9.6</v>
      </c>
      <c r="D587" s="11" t="s">
        <v>854</v>
      </c>
    </row>
    <row r="588" spans="1:4" ht="15" x14ac:dyDescent="0.25">
      <c r="A588" s="94" t="s">
        <v>856</v>
      </c>
      <c r="B588" s="94" t="s">
        <v>863</v>
      </c>
      <c r="C588" s="16">
        <v>9.6</v>
      </c>
      <c r="D588" s="11" t="s">
        <v>854</v>
      </c>
    </row>
    <row r="589" spans="1:4" ht="15" x14ac:dyDescent="0.25">
      <c r="A589" s="94" t="s">
        <v>857</v>
      </c>
      <c r="B589" s="94" t="s">
        <v>864</v>
      </c>
      <c r="C589" s="16">
        <v>9.6</v>
      </c>
      <c r="D589" s="11" t="s">
        <v>854</v>
      </c>
    </row>
    <row r="590" spans="1:4" ht="15" x14ac:dyDescent="0.25">
      <c r="A590" s="94" t="s">
        <v>858</v>
      </c>
      <c r="B590" s="94" t="s">
        <v>865</v>
      </c>
      <c r="C590" s="16">
        <v>9.6</v>
      </c>
      <c r="D590" s="11" t="s">
        <v>854</v>
      </c>
    </row>
    <row r="591" spans="1:4" ht="15" x14ac:dyDescent="0.25">
      <c r="A591" s="94" t="s">
        <v>859</v>
      </c>
      <c r="B591" s="94" t="s">
        <v>866</v>
      </c>
      <c r="C591" s="16">
        <v>9.6</v>
      </c>
      <c r="D591" s="11" t="s">
        <v>854</v>
      </c>
    </row>
    <row r="592" spans="1:4" ht="15" x14ac:dyDescent="0.25">
      <c r="A592" s="94" t="s">
        <v>860</v>
      </c>
      <c r="B592" s="94" t="s">
        <v>867</v>
      </c>
      <c r="C592" s="16">
        <v>9.6</v>
      </c>
      <c r="D592" s="11" t="s">
        <v>854</v>
      </c>
    </row>
    <row r="593" spans="1:5" ht="15" x14ac:dyDescent="0.25">
      <c r="A593" s="94" t="s">
        <v>861</v>
      </c>
      <c r="B593" s="94" t="s">
        <v>868</v>
      </c>
      <c r="C593" s="16">
        <v>9.6</v>
      </c>
      <c r="D593" s="11" t="s">
        <v>854</v>
      </c>
    </row>
    <row r="594" spans="1:5" x14ac:dyDescent="0.2">
      <c r="A594" s="82"/>
      <c r="B594" s="11"/>
      <c r="C594" s="11"/>
      <c r="D594" s="11"/>
      <c r="E594" s="112"/>
    </row>
    <row r="595" spans="1:5" x14ac:dyDescent="0.2">
      <c r="A595" s="82" t="s">
        <v>881</v>
      </c>
      <c r="B595" s="11" t="s">
        <v>889</v>
      </c>
      <c r="C595" s="16">
        <v>2.37</v>
      </c>
      <c r="D595" s="11" t="s">
        <v>664</v>
      </c>
    </row>
    <row r="596" spans="1:5" x14ac:dyDescent="0.2">
      <c r="A596" s="82" t="s">
        <v>886</v>
      </c>
      <c r="B596" s="11" t="s">
        <v>916</v>
      </c>
      <c r="C596" s="16">
        <v>2.37</v>
      </c>
      <c r="D596" s="11" t="s">
        <v>664</v>
      </c>
    </row>
    <row r="597" spans="1:5" x14ac:dyDescent="0.2">
      <c r="A597" s="82" t="s">
        <v>887</v>
      </c>
      <c r="B597" s="11" t="s">
        <v>917</v>
      </c>
      <c r="C597" s="16">
        <v>2.37</v>
      </c>
      <c r="D597" s="11" t="s">
        <v>664</v>
      </c>
    </row>
    <row r="598" spans="1:5" x14ac:dyDescent="0.2">
      <c r="A598" s="82" t="s">
        <v>880</v>
      </c>
      <c r="B598" s="11" t="s">
        <v>890</v>
      </c>
      <c r="C598" s="16">
        <v>2.37</v>
      </c>
      <c r="D598" s="11" t="s">
        <v>664</v>
      </c>
    </row>
    <row r="599" spans="1:5" x14ac:dyDescent="0.2">
      <c r="A599" s="82" t="s">
        <v>888</v>
      </c>
      <c r="B599" s="11" t="s">
        <v>891</v>
      </c>
      <c r="C599" s="16">
        <v>2.37</v>
      </c>
      <c r="D599" s="11" t="s">
        <v>664</v>
      </c>
    </row>
    <row r="600" spans="1:5" x14ac:dyDescent="0.2">
      <c r="A600" s="82" t="s">
        <v>885</v>
      </c>
      <c r="B600" s="11" t="s">
        <v>892</v>
      </c>
      <c r="C600" s="16">
        <v>2.37</v>
      </c>
      <c r="D600" s="11" t="s">
        <v>664</v>
      </c>
    </row>
    <row r="601" spans="1:5" x14ac:dyDescent="0.2">
      <c r="A601" s="82" t="s">
        <v>883</v>
      </c>
      <c r="B601" s="11" t="s">
        <v>893</v>
      </c>
      <c r="C601" s="16">
        <v>2.37</v>
      </c>
      <c r="D601" s="11" t="s">
        <v>664</v>
      </c>
    </row>
    <row r="602" spans="1:5" x14ac:dyDescent="0.2">
      <c r="A602" s="82" t="s">
        <v>882</v>
      </c>
      <c r="B602" s="11" t="s">
        <v>894</v>
      </c>
      <c r="C602" s="16">
        <v>2.37</v>
      </c>
      <c r="D602" s="11" t="s">
        <v>664</v>
      </c>
    </row>
    <row r="603" spans="1:5" x14ac:dyDescent="0.2">
      <c r="A603" s="82" t="s">
        <v>884</v>
      </c>
      <c r="B603" s="11" t="s">
        <v>895</v>
      </c>
      <c r="C603" s="16">
        <v>2.37</v>
      </c>
      <c r="D603" s="11" t="s">
        <v>664</v>
      </c>
    </row>
    <row r="604" spans="1:5" x14ac:dyDescent="0.2">
      <c r="A604" s="82" t="s">
        <v>879</v>
      </c>
      <c r="B604" s="11" t="s">
        <v>896</v>
      </c>
      <c r="C604" s="16">
        <v>2.37</v>
      </c>
      <c r="D604" s="11" t="s">
        <v>664</v>
      </c>
    </row>
    <row r="605" spans="1:5" x14ac:dyDescent="0.2">
      <c r="A605" s="82"/>
      <c r="B605" s="11"/>
      <c r="C605" s="11"/>
      <c r="D605" s="11"/>
    </row>
    <row r="606" spans="1:5" x14ac:dyDescent="0.2">
      <c r="A606" s="102" t="s">
        <v>899</v>
      </c>
      <c r="B606" s="11" t="s">
        <v>922</v>
      </c>
      <c r="C606" s="16">
        <v>7.7</v>
      </c>
      <c r="D606" s="11" t="s">
        <v>897</v>
      </c>
    </row>
    <row r="607" spans="1:5" x14ac:dyDescent="0.2">
      <c r="A607" s="102" t="s">
        <v>900</v>
      </c>
      <c r="B607" s="11" t="s">
        <v>898</v>
      </c>
      <c r="C607" s="16">
        <v>7.7</v>
      </c>
      <c r="D607" s="11" t="s">
        <v>897</v>
      </c>
    </row>
    <row r="608" spans="1:5" x14ac:dyDescent="0.2">
      <c r="A608" s="103" t="s">
        <v>901</v>
      </c>
      <c r="B608" s="9" t="s">
        <v>902</v>
      </c>
      <c r="C608" s="16">
        <v>7.7</v>
      </c>
      <c r="D608" s="11" t="s">
        <v>897</v>
      </c>
    </row>
    <row r="609" spans="1:4" x14ac:dyDescent="0.2">
      <c r="A609" s="104" t="s">
        <v>903</v>
      </c>
      <c r="B609" s="11" t="s">
        <v>904</v>
      </c>
      <c r="C609" s="16">
        <v>7.7</v>
      </c>
      <c r="D609" s="11" t="s">
        <v>897</v>
      </c>
    </row>
    <row r="610" spans="1:4" x14ac:dyDescent="0.2">
      <c r="A610" s="102" t="s">
        <v>905</v>
      </c>
      <c r="B610" s="11" t="s">
        <v>906</v>
      </c>
      <c r="C610" s="16">
        <v>7.7</v>
      </c>
      <c r="D610" s="11" t="s">
        <v>897</v>
      </c>
    </row>
    <row r="611" spans="1:4" x14ac:dyDescent="0.2">
      <c r="A611" s="102" t="s">
        <v>907</v>
      </c>
      <c r="B611" s="11" t="s">
        <v>908</v>
      </c>
      <c r="C611" s="16">
        <v>7.7</v>
      </c>
      <c r="D611" s="11" t="s">
        <v>897</v>
      </c>
    </row>
    <row r="612" spans="1:4" x14ac:dyDescent="0.2">
      <c r="A612" s="102" t="s">
        <v>909</v>
      </c>
      <c r="B612" s="11" t="s">
        <v>910</v>
      </c>
      <c r="C612" s="16">
        <v>7.7</v>
      </c>
      <c r="D612" s="11" t="s">
        <v>897</v>
      </c>
    </row>
    <row r="613" spans="1:4" x14ac:dyDescent="0.2">
      <c r="A613" s="102" t="s">
        <v>911</v>
      </c>
      <c r="B613" s="11" t="s">
        <v>915</v>
      </c>
      <c r="C613" s="16">
        <v>7.7</v>
      </c>
      <c r="D613" s="11" t="s">
        <v>897</v>
      </c>
    </row>
    <row r="614" spans="1:4" x14ac:dyDescent="0.2">
      <c r="A614" s="82"/>
      <c r="B614" s="11"/>
      <c r="C614" s="11"/>
      <c r="D614" s="11"/>
    </row>
    <row r="615" spans="1:4" x14ac:dyDescent="0.2">
      <c r="A615" s="82" t="s">
        <v>1185</v>
      </c>
      <c r="B615" s="11" t="s">
        <v>1180</v>
      </c>
      <c r="C615" s="16">
        <v>3.11</v>
      </c>
      <c r="D615" s="11" t="s">
        <v>1212</v>
      </c>
    </row>
    <row r="616" spans="1:4" x14ac:dyDescent="0.2">
      <c r="A616" s="82" t="s">
        <v>1186</v>
      </c>
      <c r="B616" s="11" t="s">
        <v>1181</v>
      </c>
      <c r="C616" s="16">
        <v>3.11</v>
      </c>
      <c r="D616" s="11" t="s">
        <v>1212</v>
      </c>
    </row>
    <row r="617" spans="1:4" x14ac:dyDescent="0.2">
      <c r="A617" s="82" t="s">
        <v>1187</v>
      </c>
      <c r="B617" s="11" t="s">
        <v>1182</v>
      </c>
      <c r="C617" s="16">
        <v>3.11</v>
      </c>
      <c r="D617" s="11" t="s">
        <v>1212</v>
      </c>
    </row>
    <row r="618" spans="1:4" x14ac:dyDescent="0.2">
      <c r="A618" s="82" t="s">
        <v>1188</v>
      </c>
      <c r="B618" s="11" t="s">
        <v>1183</v>
      </c>
      <c r="C618" s="16">
        <v>3.11</v>
      </c>
      <c r="D618" s="11" t="s">
        <v>1212</v>
      </c>
    </row>
    <row r="619" spans="1:4" x14ac:dyDescent="0.2">
      <c r="A619" s="82" t="s">
        <v>1189</v>
      </c>
      <c r="B619" s="11" t="s">
        <v>1184</v>
      </c>
      <c r="C619" s="16">
        <v>3.11</v>
      </c>
      <c r="D619" s="11" t="s">
        <v>1212</v>
      </c>
    </row>
    <row r="620" spans="1:4" x14ac:dyDescent="0.2">
      <c r="A620" s="82"/>
      <c r="B620" s="11"/>
      <c r="C620" s="11"/>
      <c r="D620" s="11"/>
    </row>
    <row r="621" spans="1:4" x14ac:dyDescent="0.2">
      <c r="A621" s="82" t="s">
        <v>1190</v>
      </c>
      <c r="B621" s="11" t="s">
        <v>1194</v>
      </c>
      <c r="C621" s="16">
        <v>1.28</v>
      </c>
      <c r="D621" s="11" t="s">
        <v>1198</v>
      </c>
    </row>
    <row r="622" spans="1:4" x14ac:dyDescent="0.2">
      <c r="A622" s="82" t="s">
        <v>1191</v>
      </c>
      <c r="B622" s="11" t="s">
        <v>1195</v>
      </c>
      <c r="C622" s="16">
        <v>1.28</v>
      </c>
      <c r="D622" s="11" t="s">
        <v>1198</v>
      </c>
    </row>
    <row r="623" spans="1:4" x14ac:dyDescent="0.2">
      <c r="A623" s="82" t="s">
        <v>1192</v>
      </c>
      <c r="B623" s="11" t="s">
        <v>1196</v>
      </c>
      <c r="C623" s="16">
        <v>1.28</v>
      </c>
      <c r="D623" s="11" t="s">
        <v>1198</v>
      </c>
    </row>
    <row r="624" spans="1:4" x14ac:dyDescent="0.2">
      <c r="A624" s="82" t="s">
        <v>1193</v>
      </c>
      <c r="B624" s="11" t="s">
        <v>1197</v>
      </c>
      <c r="C624" s="16">
        <v>1.28</v>
      </c>
      <c r="D624" s="11" t="s">
        <v>1198</v>
      </c>
    </row>
    <row r="625" spans="1:4" x14ac:dyDescent="0.2">
      <c r="A625" s="82"/>
      <c r="B625" s="11"/>
      <c r="C625" s="11"/>
      <c r="D625" s="11"/>
    </row>
    <row r="626" spans="1:4" x14ac:dyDescent="0.2">
      <c r="A626" s="82" t="s">
        <v>1203</v>
      </c>
      <c r="B626" s="11" t="s">
        <v>1207</v>
      </c>
      <c r="C626" s="16">
        <v>2.1</v>
      </c>
      <c r="D626" s="11" t="s">
        <v>1211</v>
      </c>
    </row>
    <row r="627" spans="1:4" x14ac:dyDescent="0.2">
      <c r="A627" s="82" t="s">
        <v>1204</v>
      </c>
      <c r="B627" s="11" t="s">
        <v>1208</v>
      </c>
      <c r="C627" s="16">
        <v>2.1</v>
      </c>
      <c r="D627" s="11" t="s">
        <v>1211</v>
      </c>
    </row>
    <row r="628" spans="1:4" x14ac:dyDescent="0.2">
      <c r="A628" s="82" t="s">
        <v>1205</v>
      </c>
      <c r="B628" s="11" t="s">
        <v>1209</v>
      </c>
      <c r="C628" s="16">
        <v>2.1</v>
      </c>
      <c r="D628" s="11" t="s">
        <v>1211</v>
      </c>
    </row>
    <row r="629" spans="1:4" x14ac:dyDescent="0.2">
      <c r="A629" s="82" t="s">
        <v>1206</v>
      </c>
      <c r="B629" s="11" t="s">
        <v>1210</v>
      </c>
      <c r="C629" s="16">
        <v>2.1</v>
      </c>
      <c r="D629" s="11" t="s">
        <v>1211</v>
      </c>
    </row>
    <row r="630" spans="1:4" x14ac:dyDescent="0.2">
      <c r="A630" s="82"/>
      <c r="B630" s="11"/>
      <c r="C630" s="11"/>
      <c r="D630" s="11"/>
    </row>
    <row r="631" spans="1:4" x14ac:dyDescent="0.2">
      <c r="A631" s="82" t="s">
        <v>1213</v>
      </c>
      <c r="B631" s="11" t="s">
        <v>1214</v>
      </c>
      <c r="C631" s="16">
        <v>4</v>
      </c>
      <c r="D631" s="11" t="s">
        <v>1212</v>
      </c>
    </row>
    <row r="632" spans="1:4" x14ac:dyDescent="0.2">
      <c r="A632" s="82" t="s">
        <v>1215</v>
      </c>
      <c r="B632" s="11" t="s">
        <v>1216</v>
      </c>
      <c r="C632" s="16">
        <v>4</v>
      </c>
      <c r="D632" s="11" t="s">
        <v>1212</v>
      </c>
    </row>
    <row r="633" spans="1:4" x14ac:dyDescent="0.2">
      <c r="A633" s="82" t="s">
        <v>1217</v>
      </c>
      <c r="B633" s="11" t="s">
        <v>1218</v>
      </c>
      <c r="C633" s="16">
        <v>4</v>
      </c>
      <c r="D633" s="11" t="s">
        <v>1212</v>
      </c>
    </row>
    <row r="634" spans="1:4" x14ac:dyDescent="0.2">
      <c r="A634" s="82" t="s">
        <v>1219</v>
      </c>
      <c r="B634" s="11" t="s">
        <v>1220</v>
      </c>
      <c r="C634" s="16">
        <v>4</v>
      </c>
      <c r="D634" s="11" t="s">
        <v>1212</v>
      </c>
    </row>
    <row r="635" spans="1:4" x14ac:dyDescent="0.2">
      <c r="A635" s="82" t="s">
        <v>1221</v>
      </c>
      <c r="B635" s="11" t="s">
        <v>1222</v>
      </c>
      <c r="C635" s="16">
        <v>4</v>
      </c>
      <c r="D635" s="11" t="s">
        <v>1212</v>
      </c>
    </row>
    <row r="636" spans="1:4" x14ac:dyDescent="0.2">
      <c r="A636" s="82"/>
      <c r="B636" s="11"/>
      <c r="C636" s="11"/>
      <c r="D636" s="11"/>
    </row>
    <row r="637" spans="1:4" x14ac:dyDescent="0.2">
      <c r="A637" s="82" t="s">
        <v>1223</v>
      </c>
      <c r="B637" s="11" t="s">
        <v>1231</v>
      </c>
      <c r="C637" s="16">
        <v>7.2</v>
      </c>
      <c r="D637" s="11" t="s">
        <v>1250</v>
      </c>
    </row>
    <row r="638" spans="1:4" x14ac:dyDescent="0.2">
      <c r="A638" s="82" t="s">
        <v>1224</v>
      </c>
      <c r="B638" s="11" t="s">
        <v>1232</v>
      </c>
      <c r="C638" s="16">
        <v>7.2</v>
      </c>
      <c r="D638" s="11" t="s">
        <v>1250</v>
      </c>
    </row>
    <row r="639" spans="1:4" x14ac:dyDescent="0.2">
      <c r="A639" s="82" t="s">
        <v>1225</v>
      </c>
      <c r="B639" s="11" t="s">
        <v>1233</v>
      </c>
      <c r="C639" s="16">
        <v>7.2</v>
      </c>
      <c r="D639" s="11" t="s">
        <v>1250</v>
      </c>
    </row>
    <row r="640" spans="1:4" x14ac:dyDescent="0.2">
      <c r="A640" s="82" t="s">
        <v>1226</v>
      </c>
      <c r="B640" s="11" t="s">
        <v>1234</v>
      </c>
      <c r="C640" s="16">
        <v>7.2</v>
      </c>
      <c r="D640" s="11" t="s">
        <v>1250</v>
      </c>
    </row>
    <row r="641" spans="1:4" x14ac:dyDescent="0.2">
      <c r="A641" s="82" t="s">
        <v>1227</v>
      </c>
      <c r="B641" s="11" t="s">
        <v>1235</v>
      </c>
      <c r="C641" s="16">
        <v>7.2</v>
      </c>
      <c r="D641" s="11" t="s">
        <v>1250</v>
      </c>
    </row>
    <row r="642" spans="1:4" x14ac:dyDescent="0.2">
      <c r="A642" s="82" t="s">
        <v>1228</v>
      </c>
      <c r="B642" s="11" t="s">
        <v>1236</v>
      </c>
      <c r="C642" s="16">
        <v>7.2</v>
      </c>
      <c r="D642" s="11" t="s">
        <v>1250</v>
      </c>
    </row>
    <row r="643" spans="1:4" x14ac:dyDescent="0.2">
      <c r="A643" s="82" t="s">
        <v>1229</v>
      </c>
      <c r="B643" s="11" t="s">
        <v>1237</v>
      </c>
      <c r="C643" s="16">
        <v>7.2</v>
      </c>
      <c r="D643" s="11" t="s">
        <v>1250</v>
      </c>
    </row>
    <row r="644" spans="1:4" x14ac:dyDescent="0.2">
      <c r="A644" s="82" t="s">
        <v>1230</v>
      </c>
      <c r="B644" s="11" t="s">
        <v>1238</v>
      </c>
      <c r="C644" s="16">
        <v>7.2</v>
      </c>
      <c r="D644" s="11" t="s">
        <v>1250</v>
      </c>
    </row>
    <row r="645" spans="1:4" x14ac:dyDescent="0.2">
      <c r="A645" s="82"/>
      <c r="B645" s="11"/>
      <c r="C645" s="11"/>
      <c r="D645" s="11"/>
    </row>
    <row r="646" spans="1:4" x14ac:dyDescent="0.2">
      <c r="A646" s="82" t="s">
        <v>913</v>
      </c>
      <c r="B646" s="11" t="s">
        <v>920</v>
      </c>
      <c r="C646" s="16">
        <v>2.06</v>
      </c>
      <c r="D646" s="11" t="s">
        <v>834</v>
      </c>
    </row>
    <row r="647" spans="1:4" x14ac:dyDescent="0.2">
      <c r="A647" s="82" t="s">
        <v>914</v>
      </c>
      <c r="B647" s="11" t="s">
        <v>921</v>
      </c>
      <c r="C647" s="16">
        <v>2.06</v>
      </c>
      <c r="D647" s="11" t="s">
        <v>834</v>
      </c>
    </row>
    <row r="648" spans="1:4" x14ac:dyDescent="0.2">
      <c r="A648" s="82" t="s">
        <v>962</v>
      </c>
      <c r="B648" s="11" t="s">
        <v>963</v>
      </c>
      <c r="C648" s="16">
        <v>2.06</v>
      </c>
      <c r="D648" s="11" t="s">
        <v>834</v>
      </c>
    </row>
    <row r="649" spans="1:4" x14ac:dyDescent="0.2">
      <c r="A649" s="82" t="s">
        <v>964</v>
      </c>
      <c r="B649" s="11" t="s">
        <v>965</v>
      </c>
      <c r="C649" s="16">
        <v>2.06</v>
      </c>
      <c r="D649" s="11" t="s">
        <v>834</v>
      </c>
    </row>
    <row r="650" spans="1:4" x14ac:dyDescent="0.2">
      <c r="A650" s="82" t="s">
        <v>966</v>
      </c>
      <c r="B650" s="11" t="s">
        <v>968</v>
      </c>
      <c r="C650" s="16">
        <v>2.06</v>
      </c>
      <c r="D650" s="11" t="s">
        <v>834</v>
      </c>
    </row>
    <row r="651" spans="1:4" ht="15" x14ac:dyDescent="0.25">
      <c r="A651" s="105" t="s">
        <v>970</v>
      </c>
      <c r="B651" s="105" t="s">
        <v>971</v>
      </c>
      <c r="C651" s="16">
        <v>2.06</v>
      </c>
      <c r="D651" s="11" t="s">
        <v>834</v>
      </c>
    </row>
    <row r="652" spans="1:4" ht="15" x14ac:dyDescent="0.25">
      <c r="A652" s="105" t="s">
        <v>912</v>
      </c>
      <c r="B652" s="105" t="s">
        <v>972</v>
      </c>
      <c r="C652" s="16">
        <v>2.06</v>
      </c>
      <c r="D652" s="11" t="s">
        <v>834</v>
      </c>
    </row>
    <row r="653" spans="1:4" x14ac:dyDescent="0.2">
      <c r="A653" s="101" t="s">
        <v>967</v>
      </c>
      <c r="B653" s="11" t="s">
        <v>969</v>
      </c>
      <c r="C653" s="16">
        <v>2.06</v>
      </c>
      <c r="D653" s="11" t="s">
        <v>834</v>
      </c>
    </row>
    <row r="654" spans="1:4" x14ac:dyDescent="0.2">
      <c r="A654" s="2"/>
      <c r="B654" s="11"/>
      <c r="C654" s="11"/>
      <c r="D654" s="11"/>
    </row>
    <row r="656" spans="1:4" x14ac:dyDescent="0.2">
      <c r="A656" s="109"/>
      <c r="B656" s="110"/>
      <c r="C656" s="111"/>
      <c r="D656" s="109"/>
    </row>
    <row r="657" spans="1:4" x14ac:dyDescent="0.2">
      <c r="A657" s="109"/>
      <c r="B657" s="112"/>
      <c r="C657" s="112"/>
      <c r="D657" s="112"/>
    </row>
    <row r="658" spans="1:4" x14ac:dyDescent="0.2">
      <c r="A658" s="109"/>
      <c r="B658" s="110"/>
      <c r="C658" s="111"/>
      <c r="D658" s="109"/>
    </row>
    <row r="659" spans="1:4" x14ac:dyDescent="0.2">
      <c r="A659" s="109"/>
      <c r="B659" s="110"/>
      <c r="C659" s="111"/>
      <c r="D659" s="109"/>
    </row>
    <row r="660" spans="1:4" x14ac:dyDescent="0.2">
      <c r="A660" s="109"/>
      <c r="B660" s="110"/>
      <c r="C660" s="111"/>
      <c r="D660" s="109"/>
    </row>
    <row r="661" spans="1:4" x14ac:dyDescent="0.2">
      <c r="A661" s="109"/>
      <c r="B661" s="110"/>
      <c r="C661" s="111"/>
      <c r="D661" s="109"/>
    </row>
    <row r="662" spans="1:4" x14ac:dyDescent="0.2">
      <c r="A662" s="109"/>
      <c r="B662" s="110"/>
      <c r="C662" s="111"/>
      <c r="D662" s="109"/>
    </row>
    <row r="663" spans="1:4" x14ac:dyDescent="0.2">
      <c r="A663" s="109"/>
      <c r="B663" s="110"/>
      <c r="C663" s="111"/>
      <c r="D663" s="109"/>
    </row>
  </sheetData>
  <mergeCells count="1">
    <mergeCell ref="A1:D1"/>
  </mergeCell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&amp;C&amp;A</oddHeader>
    <oddFooter>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4</vt:i4>
      </vt:variant>
    </vt:vector>
  </HeadingPairs>
  <TitlesOfParts>
    <vt:vector size="6" baseType="lpstr">
      <vt:lpstr>Pedido</vt:lpstr>
      <vt:lpstr>Tabela</vt:lpstr>
      <vt:lpstr>Pedido!Area_de_impressao</vt:lpstr>
      <vt:lpstr>Tabela!Area_de_impressao</vt:lpstr>
      <vt:lpstr>Pedido!Titulos_de_impressao</vt:lpstr>
      <vt:lpstr>Tabela!Titulos_de_impressao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Leuterio</dc:creator>
  <cp:lastModifiedBy>Vera</cp:lastModifiedBy>
  <cp:lastPrinted>2018-08-20T18:09:33Z</cp:lastPrinted>
  <dcterms:created xsi:type="dcterms:W3CDTF">2016-07-11T13:28:49Z</dcterms:created>
  <dcterms:modified xsi:type="dcterms:W3CDTF">2021-02-12T19:39:58Z</dcterms:modified>
</cp:coreProperties>
</file>