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n Brasileiro\Desktop\"/>
    </mc:Choice>
  </mc:AlternateContent>
  <xr:revisionPtr revIDLastSave="0" documentId="13_ncr:1_{CD520CA0-7512-467D-86E0-4C6FCCC867B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an1" sheetId="3" r:id="rId1"/>
  </sheets>
  <definedNames>
    <definedName name="_xlnm._FilterDatabase" localSheetId="0" hidden="1">Plan1!$A$18:$G$155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48" i="3" l="1"/>
  <c r="G57" i="3"/>
  <c r="G74" i="3" l="1"/>
  <c r="G75" i="3"/>
  <c r="G76" i="3"/>
  <c r="G77" i="3"/>
  <c r="G78" i="3"/>
  <c r="G79" i="3"/>
  <c r="G73" i="3" l="1"/>
  <c r="G72" i="3" l="1"/>
  <c r="G69" i="3"/>
  <c r="G68" i="3"/>
  <c r="G67" i="3"/>
  <c r="G66" i="3"/>
  <c r="G65" i="3"/>
  <c r="G64" i="3"/>
  <c r="G63" i="3"/>
  <c r="G62" i="3"/>
  <c r="G61" i="3"/>
  <c r="G129" i="3" l="1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9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28" i="3" l="1"/>
  <c r="G127" i="3"/>
  <c r="G126" i="3"/>
  <c r="G125" i="3"/>
  <c r="G124" i="3"/>
  <c r="G107" i="3"/>
  <c r="G106" i="3"/>
  <c r="G105" i="3"/>
  <c r="G104" i="3"/>
  <c r="G103" i="3"/>
  <c r="G102" i="3"/>
  <c r="G101" i="3"/>
  <c r="G100" i="3"/>
  <c r="G99" i="3"/>
  <c r="G98" i="3"/>
  <c r="G97" i="3"/>
  <c r="G96" i="3"/>
  <c r="G84" i="3"/>
  <c r="G85" i="3"/>
  <c r="G86" i="3"/>
  <c r="G87" i="3"/>
  <c r="G88" i="3"/>
  <c r="G89" i="3"/>
  <c r="G90" i="3"/>
  <c r="G91" i="3"/>
  <c r="G92" i="3"/>
  <c r="G93" i="3"/>
  <c r="G83" i="3"/>
  <c r="G8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8" i="3"/>
  <c r="G22" i="3"/>
  <c r="G21" i="3"/>
  <c r="G151" i="3" l="1"/>
  <c r="G153" i="3" s="1"/>
</calcChain>
</file>

<file path=xl/sharedStrings.xml><?xml version="1.0" encoding="utf-8"?>
<sst xmlns="http://schemas.openxmlformats.org/spreadsheetml/2006/main" count="267" uniqueCount="266">
  <si>
    <t>TOTAL</t>
  </si>
  <si>
    <t>RAZÃO SOCIAL:</t>
  </si>
  <si>
    <t>CNPJ:</t>
  </si>
  <si>
    <t>I.E:</t>
  </si>
  <si>
    <t>CONTATO:</t>
  </si>
  <si>
    <t>E-MAIL:</t>
  </si>
  <si>
    <t>TELEFONE:</t>
  </si>
  <si>
    <t>BAIRRO:</t>
  </si>
  <si>
    <t>CIDADE:</t>
  </si>
  <si>
    <t>ESTADO:</t>
  </si>
  <si>
    <t>CEP:</t>
  </si>
  <si>
    <t>FATURAMENTO:</t>
  </si>
  <si>
    <t>NOME DA EMPRESA</t>
  </si>
  <si>
    <t>DESCRIÇÃO</t>
  </si>
  <si>
    <t>TOTAL PEDIDO</t>
  </si>
  <si>
    <t>DESCONTO COMERCIAL</t>
  </si>
  <si>
    <t>QTDADE</t>
  </si>
  <si>
    <t>DATA:</t>
  </si>
  <si>
    <t>TRANSP:</t>
  </si>
  <si>
    <t>REPRESENTANTE:</t>
  </si>
  <si>
    <t>ENDEREÇO:</t>
  </si>
  <si>
    <t>HF-001</t>
  </si>
  <si>
    <t>HF-002</t>
  </si>
  <si>
    <t>HF-003</t>
  </si>
  <si>
    <t>HF-004</t>
  </si>
  <si>
    <t>HF-005</t>
  </si>
  <si>
    <t>HF-006</t>
  </si>
  <si>
    <t>HF-007</t>
  </si>
  <si>
    <t>HF-008</t>
  </si>
  <si>
    <t>HF-009</t>
  </si>
  <si>
    <t>HF-010</t>
  </si>
  <si>
    <t>HF-011</t>
  </si>
  <si>
    <t>HF-012</t>
  </si>
  <si>
    <t>HF-013</t>
  </si>
  <si>
    <t>HF-014</t>
  </si>
  <si>
    <t>HF-015</t>
  </si>
  <si>
    <t>HF-016</t>
  </si>
  <si>
    <t>HF-017</t>
  </si>
  <si>
    <t>HF-018</t>
  </si>
  <si>
    <t>HF-019</t>
  </si>
  <si>
    <t>HF-020</t>
  </si>
  <si>
    <t>HF-021</t>
  </si>
  <si>
    <t>HF-022</t>
  </si>
  <si>
    <t>HF-023</t>
  </si>
  <si>
    <t>HF-024</t>
  </si>
  <si>
    <t>HF-025</t>
  </si>
  <si>
    <t>HF-026</t>
  </si>
  <si>
    <t>HF-027</t>
  </si>
  <si>
    <t>HF-028</t>
  </si>
  <si>
    <t>HF-029</t>
  </si>
  <si>
    <t>HF-030</t>
  </si>
  <si>
    <t>HF-031</t>
  </si>
  <si>
    <t>HF-032</t>
  </si>
  <si>
    <t>HF-101</t>
  </si>
  <si>
    <t>HF-102</t>
  </si>
  <si>
    <t>HF-103</t>
  </si>
  <si>
    <t>HF-104</t>
  </si>
  <si>
    <t>HF-105</t>
  </si>
  <si>
    <t>HF-106</t>
  </si>
  <si>
    <t>HF-107</t>
  </si>
  <si>
    <t>HF-108</t>
  </si>
  <si>
    <t>HF-033</t>
  </si>
  <si>
    <t>HF-034</t>
  </si>
  <si>
    <t>HF-035</t>
  </si>
  <si>
    <t>HF-109</t>
  </si>
  <si>
    <t>HF-110</t>
  </si>
  <si>
    <t>HF-111</t>
  </si>
  <si>
    <t>HF-112</t>
  </si>
  <si>
    <t>OBSERVAÇÕES:</t>
  </si>
  <si>
    <t>HF-070</t>
  </si>
  <si>
    <t>HF-036</t>
  </si>
  <si>
    <t>HF-037</t>
  </si>
  <si>
    <t>MÁSCARAS</t>
  </si>
  <si>
    <t>HF-201</t>
  </si>
  <si>
    <t>HF-202</t>
  </si>
  <si>
    <t>HF-203</t>
  </si>
  <si>
    <t>HF-204</t>
  </si>
  <si>
    <t>HF-205</t>
  </si>
  <si>
    <t>HF-206</t>
  </si>
  <si>
    <t>HF-207</t>
  </si>
  <si>
    <t>HF-208</t>
  </si>
  <si>
    <t>HF-209</t>
  </si>
  <si>
    <t>HF-210</t>
  </si>
  <si>
    <t>HF-211</t>
  </si>
  <si>
    <t>HF-212</t>
  </si>
  <si>
    <t>HF-301</t>
  </si>
  <si>
    <t>HF-302</t>
  </si>
  <si>
    <t>HF-303</t>
  </si>
  <si>
    <t>HF-304</t>
  </si>
  <si>
    <t>HF-305</t>
  </si>
  <si>
    <t>HF-306</t>
  </si>
  <si>
    <t>HF-307</t>
  </si>
  <si>
    <t>HF-308</t>
  </si>
  <si>
    <t>HF-309</t>
  </si>
  <si>
    <t>HF-310</t>
  </si>
  <si>
    <t>HF-311</t>
  </si>
  <si>
    <t>HF-312</t>
  </si>
  <si>
    <t xml:space="preserve">Máscara Caveira  </t>
  </si>
  <si>
    <t xml:space="preserve">Máscara Jason  </t>
  </si>
  <si>
    <t xml:space="preserve">Máscara Vampiro  </t>
  </si>
  <si>
    <t xml:space="preserve">Máscara Pânico  </t>
  </si>
  <si>
    <t xml:space="preserve">Máscara Diabo  </t>
  </si>
  <si>
    <t xml:space="preserve">Máscara IT-A Coisa  </t>
  </si>
  <si>
    <t>CX MASTER</t>
  </si>
  <si>
    <t>CÓDIGO</t>
  </si>
  <si>
    <t>PREÇO UNIT</t>
  </si>
  <si>
    <t>MÁSCARAS DE EVA</t>
  </si>
  <si>
    <t>HF-404</t>
  </si>
  <si>
    <t>HF-401</t>
  </si>
  <si>
    <t>HF-402</t>
  </si>
  <si>
    <t>HF-403</t>
  </si>
  <si>
    <t>HF-405</t>
  </si>
  <si>
    <t>HF-406</t>
  </si>
  <si>
    <t>HF-407</t>
  </si>
  <si>
    <t>HF-408</t>
  </si>
  <si>
    <t>HF-409</t>
  </si>
  <si>
    <t>HF-410</t>
  </si>
  <si>
    <t>HF-411</t>
  </si>
  <si>
    <t>HF-412</t>
  </si>
  <si>
    <t>HF-413</t>
  </si>
  <si>
    <t>HF-414</t>
  </si>
  <si>
    <t>HF-415</t>
  </si>
  <si>
    <t>HF-416</t>
  </si>
  <si>
    <t>HF-417</t>
  </si>
  <si>
    <t>HF-418</t>
  </si>
  <si>
    <t>HF-419</t>
  </si>
  <si>
    <t>HF-420</t>
  </si>
  <si>
    <t>HF-421</t>
  </si>
  <si>
    <t>HF-422</t>
  </si>
  <si>
    <t>HF-423</t>
  </si>
  <si>
    <t>HF-424</t>
  </si>
  <si>
    <t>HF-425</t>
  </si>
  <si>
    <t>Máscara Batman - EVA</t>
  </si>
  <si>
    <t>Máscara Superman - EVA</t>
  </si>
  <si>
    <t>Máscara Flash - EVA</t>
  </si>
  <si>
    <t>Máscara Mulher Maravilha - EVA</t>
  </si>
  <si>
    <t>Máscara Mulher Gato - EVA</t>
  </si>
  <si>
    <t>Máscara Coringa - EVA</t>
  </si>
  <si>
    <t>Máscara Homem de Ferro - EVA</t>
  </si>
  <si>
    <t>Máscara Capitão América - EVA</t>
  </si>
  <si>
    <t>Máscara Hulk - EVA</t>
  </si>
  <si>
    <t>Máscara Thor - EVA</t>
  </si>
  <si>
    <t>Máscara Homem Aranha - EVA</t>
  </si>
  <si>
    <t>Máscara Pantera Negra - EVA</t>
  </si>
  <si>
    <t>Máscara Mickey - EVA</t>
  </si>
  <si>
    <t>Máscara Minnie - EVA</t>
  </si>
  <si>
    <t>Máscara Woody - EVA</t>
  </si>
  <si>
    <t>Máscara Buzz Lightyear - EVA</t>
  </si>
  <si>
    <t>Máscara Minion - EVA</t>
  </si>
  <si>
    <t>Máscara Ladybug - EVA</t>
  </si>
  <si>
    <t>Máscara Menino Gato - EVA</t>
  </si>
  <si>
    <t>Máscara Lagartixo - EVA</t>
  </si>
  <si>
    <t>Máscara Corujita - EVA</t>
  </si>
  <si>
    <t>Máscara Chase-Cachorro Policial - EVA</t>
  </si>
  <si>
    <t>Máscara Marshall-Cachorro Bombeiro - EVA</t>
  </si>
  <si>
    <t>Máscara Skye-Cachorra Aviadora - EVA</t>
  </si>
  <si>
    <t>Máscara La Casa de Papel - EVA</t>
  </si>
  <si>
    <t>FANTASIA FUN LIGHT - KIT MÁSCARA E CAPA</t>
  </si>
  <si>
    <t>FANTASIA HERO FUN - KIT MÁSCARA, CAPA E PEITORAL</t>
  </si>
  <si>
    <t>FANTASIA HERO PLAY - KIT MÁSCARA E PEITORAL</t>
  </si>
  <si>
    <t xml:space="preserve">Máscara Batman  </t>
  </si>
  <si>
    <t xml:space="preserve">Máscara Superman  </t>
  </si>
  <si>
    <t xml:space="preserve">Máscara Flash  </t>
  </si>
  <si>
    <t xml:space="preserve">Tiara Mulher Maravilha  </t>
  </si>
  <si>
    <t xml:space="preserve">Máscara Mulher Gato  </t>
  </si>
  <si>
    <t xml:space="preserve">Máscara Coringa  </t>
  </si>
  <si>
    <t xml:space="preserve">Máscara Homem de Ferro  </t>
  </si>
  <si>
    <t xml:space="preserve">Máscara Capitão América  </t>
  </si>
  <si>
    <t xml:space="preserve">Máscara Hulk  </t>
  </si>
  <si>
    <t xml:space="preserve">Máscara Thor  </t>
  </si>
  <si>
    <t xml:space="preserve">Máscara Homem Aranha  </t>
  </si>
  <si>
    <t xml:space="preserve">Máscara Homem Aranha Inteira  </t>
  </si>
  <si>
    <t xml:space="preserve">Máscara Pantera Negra  </t>
  </si>
  <si>
    <t xml:space="preserve">Máscara Darth Vader  </t>
  </si>
  <si>
    <t xml:space="preserve">Máscara Stormtrooper  </t>
  </si>
  <si>
    <t xml:space="preserve">Máscara Mickey  </t>
  </si>
  <si>
    <t xml:space="preserve">Máscara Minnie  </t>
  </si>
  <si>
    <t xml:space="preserve">Máscara Woody  </t>
  </si>
  <si>
    <t xml:space="preserve">Máscara Buzz Lightyear  </t>
  </si>
  <si>
    <t xml:space="preserve">Máscara Minion  </t>
  </si>
  <si>
    <t xml:space="preserve">Máscara Ladybug  </t>
  </si>
  <si>
    <t xml:space="preserve">Máscara Catnoir  </t>
  </si>
  <si>
    <t xml:space="preserve">Máscara Mario  </t>
  </si>
  <si>
    <t xml:space="preserve">Máscara Luigi  </t>
  </si>
  <si>
    <t xml:space="preserve">Máscara Menino Gato  </t>
  </si>
  <si>
    <t xml:space="preserve">Máscara Lagartixo  </t>
  </si>
  <si>
    <t xml:space="preserve">Máscara Corujita  </t>
  </si>
  <si>
    <t xml:space="preserve">Máscara Chase-Cachorro Policial  </t>
  </si>
  <si>
    <t xml:space="preserve">Máscara Marshall-Cachorro Bombeiro  </t>
  </si>
  <si>
    <t xml:space="preserve">Máscara Skye-Cachorra Aviadora  </t>
  </si>
  <si>
    <t xml:space="preserve">Máscara La Casa de Papel  </t>
  </si>
  <si>
    <t>Escudo Capitão América</t>
  </si>
  <si>
    <r>
      <rPr>
        <i/>
        <sz val="10"/>
        <color rgb="FF000000"/>
        <rFont val="Arial"/>
        <family val="2"/>
      </rPr>
      <t>Fantasia Hero Play</t>
    </r>
    <r>
      <rPr>
        <sz val="10"/>
        <color indexed="64"/>
        <rFont val="Arial"/>
      </rPr>
      <t xml:space="preserve"> - Kit Máscara e Peitoral Homem de Ferro</t>
    </r>
  </si>
  <si>
    <r>
      <rPr>
        <i/>
        <sz val="10"/>
        <color rgb="FF000000"/>
        <rFont val="Arial"/>
        <family val="2"/>
      </rPr>
      <t>Fantasia Hero Play</t>
    </r>
    <r>
      <rPr>
        <sz val="10"/>
        <color indexed="64"/>
        <rFont val="Arial"/>
      </rPr>
      <t xml:space="preserve"> - Kit Máscara e Peitoral Capitão América</t>
    </r>
  </si>
  <si>
    <r>
      <rPr>
        <i/>
        <sz val="10"/>
        <color rgb="FF000000"/>
        <rFont val="Arial"/>
        <family val="2"/>
      </rPr>
      <t>Fantasia Hero Play</t>
    </r>
    <r>
      <rPr>
        <sz val="10"/>
        <color indexed="64"/>
        <rFont val="Arial"/>
      </rPr>
      <t xml:space="preserve"> - Kit Máscara e Peitoral Hulk</t>
    </r>
  </si>
  <si>
    <r>
      <rPr>
        <i/>
        <sz val="10"/>
        <color rgb="FF000000"/>
        <rFont val="Arial"/>
        <family val="2"/>
      </rPr>
      <t>Fantasia Hero Play</t>
    </r>
    <r>
      <rPr>
        <sz val="10"/>
        <color indexed="64"/>
        <rFont val="Arial"/>
      </rPr>
      <t xml:space="preserve"> - Kit Máscara e Peitoral Thor</t>
    </r>
  </si>
  <si>
    <r>
      <rPr>
        <i/>
        <sz val="10"/>
        <color rgb="FF000000"/>
        <rFont val="Arial"/>
        <family val="2"/>
      </rPr>
      <t>Fantasia Hero Play</t>
    </r>
    <r>
      <rPr>
        <sz val="10"/>
        <color indexed="64"/>
        <rFont val="Arial"/>
      </rPr>
      <t xml:space="preserve"> - Kit Máscara e Peitoral Homem Aranha</t>
    </r>
  </si>
  <si>
    <r>
      <rPr>
        <i/>
        <sz val="10"/>
        <color rgb="FF000000"/>
        <rFont val="Arial"/>
        <family val="2"/>
      </rPr>
      <t>Fantasia Hero Play</t>
    </r>
    <r>
      <rPr>
        <sz val="10"/>
        <color indexed="64"/>
        <rFont val="Arial"/>
      </rPr>
      <t xml:space="preserve"> - Kit Máscara e Peitoral Pantera Negra</t>
    </r>
  </si>
  <si>
    <r>
      <rPr>
        <i/>
        <sz val="10"/>
        <color rgb="FF000000"/>
        <rFont val="Arial"/>
        <family val="2"/>
      </rPr>
      <t>Fantasia Hero Play</t>
    </r>
    <r>
      <rPr>
        <sz val="10"/>
        <color indexed="64"/>
        <rFont val="Arial"/>
      </rPr>
      <t xml:space="preserve"> - Kit Máscara e Peitoral Menino Gato</t>
    </r>
  </si>
  <si>
    <r>
      <rPr>
        <i/>
        <sz val="10"/>
        <color rgb="FF000000"/>
        <rFont val="Arial"/>
        <family val="2"/>
      </rPr>
      <t>Fantasia Hero Play</t>
    </r>
    <r>
      <rPr>
        <sz val="10"/>
        <color indexed="64"/>
        <rFont val="Arial"/>
      </rPr>
      <t xml:space="preserve"> - Kit Máscara e Peitoral Lagartixo</t>
    </r>
  </si>
  <si>
    <r>
      <rPr>
        <i/>
        <sz val="10"/>
        <color rgb="FF000000"/>
        <rFont val="Arial"/>
        <family val="2"/>
      </rPr>
      <t>Fantasia Hero Play</t>
    </r>
    <r>
      <rPr>
        <sz val="10"/>
        <color indexed="64"/>
        <rFont val="Arial"/>
      </rPr>
      <t xml:space="preserve"> - Kit Máscara e Peitoral Chase-Cachorro Policial </t>
    </r>
  </si>
  <si>
    <r>
      <rPr>
        <i/>
        <sz val="10"/>
        <color rgb="FF000000"/>
        <rFont val="Arial"/>
        <family val="2"/>
      </rPr>
      <t>Fantasia Hero Play</t>
    </r>
    <r>
      <rPr>
        <sz val="10"/>
        <color indexed="64"/>
        <rFont val="Arial"/>
      </rPr>
      <t xml:space="preserve"> - Kit Máscara e Peitoral Marshall-Cachorro Bombeiro  </t>
    </r>
  </si>
  <si>
    <r>
      <rPr>
        <i/>
        <sz val="10"/>
        <rFont val="Arial"/>
        <family val="2"/>
      </rPr>
      <t>Fantasia Fun Light</t>
    </r>
    <r>
      <rPr>
        <sz val="10"/>
        <color indexed="64"/>
        <rFont val="Arial"/>
      </rPr>
      <t xml:space="preserve"> - Kit Máscara e Capa Homem de Ferro</t>
    </r>
  </si>
  <si>
    <r>
      <rPr>
        <i/>
        <sz val="10"/>
        <rFont val="Arial"/>
        <family val="2"/>
      </rPr>
      <t xml:space="preserve">Fantasia Fun Light </t>
    </r>
    <r>
      <rPr>
        <sz val="10"/>
        <color indexed="64"/>
        <rFont val="Arial"/>
      </rPr>
      <t>- Kit Máscara e Capa Capitão América</t>
    </r>
  </si>
  <si>
    <r>
      <rPr>
        <i/>
        <sz val="10"/>
        <rFont val="Arial"/>
        <family val="2"/>
      </rPr>
      <t>Fantasia Fun Light</t>
    </r>
    <r>
      <rPr>
        <sz val="10"/>
        <rFont val="Arial"/>
        <family val="2"/>
      </rPr>
      <t xml:space="preserve"> - Kit Máscara e Capa Hulk</t>
    </r>
  </si>
  <si>
    <r>
      <rPr>
        <i/>
        <sz val="10"/>
        <rFont val="Arial"/>
        <family val="2"/>
      </rPr>
      <t xml:space="preserve">Fantasia Fun Light </t>
    </r>
    <r>
      <rPr>
        <sz val="10"/>
        <color indexed="64"/>
        <rFont val="Arial"/>
      </rPr>
      <t>- Kit Máscara e Capa Thor</t>
    </r>
  </si>
  <si>
    <r>
      <rPr>
        <i/>
        <sz val="10"/>
        <rFont val="Arial"/>
        <family val="2"/>
      </rPr>
      <t xml:space="preserve">Fantasia Fun Light </t>
    </r>
    <r>
      <rPr>
        <sz val="10"/>
        <color indexed="64"/>
        <rFont val="Arial"/>
      </rPr>
      <t>- Kit Máscara e Capa Homem Aranha</t>
    </r>
  </si>
  <si>
    <r>
      <rPr>
        <i/>
        <sz val="10"/>
        <rFont val="Arial"/>
        <family val="2"/>
      </rPr>
      <t xml:space="preserve">Fantasia Fun Light </t>
    </r>
    <r>
      <rPr>
        <sz val="10"/>
        <rFont val="Arial"/>
        <family val="2"/>
      </rPr>
      <t>- Kit Máscara e Capa Pantera Negra</t>
    </r>
  </si>
  <si>
    <r>
      <rPr>
        <i/>
        <sz val="10"/>
        <rFont val="Arial"/>
        <family val="2"/>
      </rPr>
      <t xml:space="preserve">Fantasia Fun Light </t>
    </r>
    <r>
      <rPr>
        <sz val="10"/>
        <color indexed="64"/>
        <rFont val="Arial"/>
      </rPr>
      <t>- Kit Máscara e Capa Menino Gato</t>
    </r>
  </si>
  <si>
    <r>
      <rPr>
        <i/>
        <sz val="10"/>
        <rFont val="Arial"/>
        <family val="2"/>
      </rPr>
      <t xml:space="preserve">Fantasia Fun Light </t>
    </r>
    <r>
      <rPr>
        <sz val="10"/>
        <rFont val="Arial"/>
        <family val="2"/>
      </rPr>
      <t>- Kit Máscara e Capa Lagartixo</t>
    </r>
  </si>
  <si>
    <r>
      <rPr>
        <i/>
        <sz val="10"/>
        <rFont val="Arial"/>
        <family val="2"/>
      </rPr>
      <t xml:space="preserve">Fantasia Fun Light </t>
    </r>
    <r>
      <rPr>
        <sz val="10"/>
        <rFont val="Arial"/>
        <family val="2"/>
      </rPr>
      <t xml:space="preserve">- Kit Máscara e Capa Chase-Cachorro Policial  </t>
    </r>
  </si>
  <si>
    <r>
      <rPr>
        <i/>
        <sz val="10"/>
        <rFont val="Arial"/>
        <family val="2"/>
      </rPr>
      <t xml:space="preserve">Fantasia Fun Light </t>
    </r>
    <r>
      <rPr>
        <sz val="10"/>
        <rFont val="Arial"/>
        <family val="2"/>
      </rPr>
      <t xml:space="preserve">- Kit Máscara e Capa Marshall-Cachorro Bombeiro  </t>
    </r>
  </si>
  <si>
    <r>
      <rPr>
        <i/>
        <sz val="10"/>
        <rFont val="Arial"/>
        <family val="2"/>
      </rPr>
      <t>Fantasia Hero Fun</t>
    </r>
    <r>
      <rPr>
        <sz val="10"/>
        <rFont val="Arial"/>
        <family val="2"/>
      </rPr>
      <t xml:space="preserve"> - Kit Máscara, Capa e Peitoral Homem de Ferro</t>
    </r>
  </si>
  <si>
    <r>
      <rPr>
        <i/>
        <sz val="10"/>
        <rFont val="Arial"/>
        <family val="2"/>
      </rPr>
      <t>Fantasia Hero Fun</t>
    </r>
    <r>
      <rPr>
        <sz val="10"/>
        <rFont val="Arial"/>
        <family val="2"/>
      </rPr>
      <t xml:space="preserve"> - Kit Máscara, Capa e Peitoral Capitão América</t>
    </r>
  </si>
  <si>
    <r>
      <rPr>
        <i/>
        <sz val="10"/>
        <rFont val="Arial"/>
        <family val="2"/>
      </rPr>
      <t>Fantasia Hero Fun</t>
    </r>
    <r>
      <rPr>
        <sz val="10"/>
        <rFont val="Arial"/>
        <family val="2"/>
      </rPr>
      <t xml:space="preserve"> - Kit Máscara, Capa e Peitoral Hulk</t>
    </r>
  </si>
  <si>
    <r>
      <rPr>
        <i/>
        <sz val="10"/>
        <rFont val="Arial"/>
        <family val="2"/>
      </rPr>
      <t>Fantasia Hero Fun</t>
    </r>
    <r>
      <rPr>
        <sz val="10"/>
        <rFont val="Arial"/>
        <family val="2"/>
      </rPr>
      <t xml:space="preserve"> - Kit Máscara, Capa e Peitoral Thor</t>
    </r>
  </si>
  <si>
    <r>
      <rPr>
        <i/>
        <sz val="10"/>
        <rFont val="Arial"/>
        <family val="2"/>
      </rPr>
      <t>Fantasia Hero Fun</t>
    </r>
    <r>
      <rPr>
        <sz val="10"/>
        <rFont val="Arial"/>
        <family val="2"/>
      </rPr>
      <t xml:space="preserve"> - Kit Máscara, Capa e Peitoral Homem Aranha  </t>
    </r>
  </si>
  <si>
    <r>
      <rPr>
        <i/>
        <sz val="10"/>
        <rFont val="Arial"/>
        <family val="2"/>
      </rPr>
      <t>Fantasia Hero Fun</t>
    </r>
    <r>
      <rPr>
        <sz val="10"/>
        <rFont val="Arial"/>
        <family val="2"/>
      </rPr>
      <t xml:space="preserve"> - Kit Máscara, Capa e Peitoral Pantera Negra </t>
    </r>
  </si>
  <si>
    <r>
      <rPr>
        <i/>
        <sz val="10"/>
        <rFont val="Arial"/>
        <family val="2"/>
      </rPr>
      <t>Fantasia Hero Fun</t>
    </r>
    <r>
      <rPr>
        <sz val="10"/>
        <rFont val="Arial"/>
        <family val="2"/>
      </rPr>
      <t xml:space="preserve"> - Kit Máscara, Capa e Peitoral Menino Gato</t>
    </r>
  </si>
  <si>
    <r>
      <rPr>
        <i/>
        <sz val="10"/>
        <rFont val="Arial"/>
        <family val="2"/>
      </rPr>
      <t>Fantasia Hero Fun</t>
    </r>
    <r>
      <rPr>
        <sz val="10"/>
        <rFont val="Arial"/>
        <family val="2"/>
      </rPr>
      <t xml:space="preserve"> - Kit Máscara, Capa e Peitoral Lagartixo</t>
    </r>
  </si>
  <si>
    <r>
      <rPr>
        <i/>
        <sz val="10"/>
        <rFont val="Arial"/>
        <family val="2"/>
      </rPr>
      <t>Fantasia Hero Fun</t>
    </r>
    <r>
      <rPr>
        <sz val="10"/>
        <rFont val="Arial"/>
        <family val="2"/>
      </rPr>
      <t xml:space="preserve"> - Kit Máscara, Capa e Peitoral Chase-Cachorro Policial  </t>
    </r>
  </si>
  <si>
    <r>
      <rPr>
        <i/>
        <sz val="10"/>
        <rFont val="Arial"/>
        <family val="2"/>
      </rPr>
      <t>Fantasia Hero Fun</t>
    </r>
    <r>
      <rPr>
        <sz val="10"/>
        <rFont val="Arial"/>
        <family val="2"/>
      </rPr>
      <t xml:space="preserve"> - Kit Máscara, Capa e Peitoral Marshall-Cachorro Bombeiro  </t>
    </r>
  </si>
  <si>
    <r>
      <rPr>
        <i/>
        <sz val="10"/>
        <color rgb="FF000000"/>
        <rFont val="Arial"/>
        <family val="2"/>
      </rPr>
      <t>Fantasia Hero Play</t>
    </r>
    <r>
      <rPr>
        <sz val="10"/>
        <color indexed="64"/>
        <rFont val="Arial"/>
        <family val="2"/>
      </rPr>
      <t xml:space="preserve"> - Kit Máscara e Peitoral Batman</t>
    </r>
  </si>
  <si>
    <r>
      <rPr>
        <i/>
        <sz val="10"/>
        <color rgb="FF000000"/>
        <rFont val="Arial"/>
        <family val="2"/>
      </rPr>
      <t>Fantasia Hero Play</t>
    </r>
    <r>
      <rPr>
        <sz val="10"/>
        <color indexed="64"/>
        <rFont val="Arial"/>
        <family val="2"/>
      </rPr>
      <t xml:space="preserve"> - Kit Máscara e Peitoral Flash</t>
    </r>
  </si>
  <si>
    <r>
      <rPr>
        <i/>
        <sz val="10"/>
        <color rgb="FF000000"/>
        <rFont val="Arial"/>
        <family val="2"/>
      </rPr>
      <t>Fantasia Fun Light</t>
    </r>
    <r>
      <rPr>
        <sz val="10"/>
        <color indexed="64"/>
        <rFont val="Arial"/>
      </rPr>
      <t xml:space="preserve"> - Kit Máscara e Capa Batman</t>
    </r>
  </si>
  <si>
    <r>
      <rPr>
        <i/>
        <sz val="10"/>
        <color rgb="FF000000"/>
        <rFont val="Arial"/>
        <family val="2"/>
      </rPr>
      <t>Fantasia Fun Light</t>
    </r>
    <r>
      <rPr>
        <sz val="10"/>
        <color indexed="64"/>
        <rFont val="Arial"/>
      </rPr>
      <t xml:space="preserve"> - Kit Máscara e Capa Flash</t>
    </r>
  </si>
  <si>
    <r>
      <rPr>
        <i/>
        <sz val="10"/>
        <color rgb="FF000000"/>
        <rFont val="Arial"/>
        <family val="2"/>
      </rPr>
      <t>Fantasia Hero Fun</t>
    </r>
    <r>
      <rPr>
        <sz val="10"/>
        <color indexed="64"/>
        <rFont val="Arial"/>
      </rPr>
      <t xml:space="preserve"> - Kit Máscara, Capa e Peitoral Batman</t>
    </r>
  </si>
  <si>
    <r>
      <rPr>
        <i/>
        <sz val="10"/>
        <color rgb="FF000000"/>
        <rFont val="Arial"/>
        <family val="2"/>
      </rPr>
      <t>Fantasia Hero Fun</t>
    </r>
    <r>
      <rPr>
        <sz val="10"/>
        <color indexed="64"/>
        <rFont val="Arial"/>
      </rPr>
      <t xml:space="preserve"> - Kit Máscara, Capa e Peitoral Flash</t>
    </r>
  </si>
  <si>
    <r>
      <rPr>
        <i/>
        <sz val="10"/>
        <color rgb="FF000000"/>
        <rFont val="Arial"/>
        <family val="2"/>
      </rPr>
      <t>Double Fun</t>
    </r>
    <r>
      <rPr>
        <sz val="10"/>
        <color indexed="64"/>
        <rFont val="Arial"/>
        <family val="2"/>
      </rPr>
      <t xml:space="preserve"> - Máscara Batman e Máscara Superman</t>
    </r>
  </si>
  <si>
    <t>HF-050</t>
  </si>
  <si>
    <t>HF-051</t>
  </si>
  <si>
    <t>HF-052</t>
  </si>
  <si>
    <t>HF-053</t>
  </si>
  <si>
    <t>HF-054</t>
  </si>
  <si>
    <t>HF-055</t>
  </si>
  <si>
    <t>HF-056</t>
  </si>
  <si>
    <t>HF-057</t>
  </si>
  <si>
    <t>HF-058</t>
  </si>
  <si>
    <r>
      <rPr>
        <i/>
        <sz val="10"/>
        <color rgb="FF000000"/>
        <rFont val="Arial"/>
        <family val="2"/>
      </rPr>
      <t>Double Fun</t>
    </r>
    <r>
      <rPr>
        <sz val="10"/>
        <color indexed="64"/>
        <rFont val="Arial"/>
        <family val="2"/>
      </rPr>
      <t xml:space="preserve"> - Máscara Batman e Máscara Flash</t>
    </r>
  </si>
  <si>
    <r>
      <rPr>
        <i/>
        <sz val="10"/>
        <color rgb="FF000000"/>
        <rFont val="Arial"/>
        <family val="2"/>
      </rPr>
      <t>Double Fun</t>
    </r>
    <r>
      <rPr>
        <sz val="10"/>
        <color indexed="64"/>
        <rFont val="Arial"/>
        <family val="2"/>
      </rPr>
      <t xml:space="preserve"> - Máscara Batman e Coringa</t>
    </r>
  </si>
  <si>
    <r>
      <rPr>
        <i/>
        <sz val="10"/>
        <color rgb="FF000000"/>
        <rFont val="Arial"/>
        <family val="2"/>
      </rPr>
      <t>Double Fun</t>
    </r>
    <r>
      <rPr>
        <sz val="10"/>
        <color indexed="64"/>
        <rFont val="Arial"/>
        <family val="2"/>
      </rPr>
      <t xml:space="preserve"> - Máscara Homem de Ferro e Capitão América</t>
    </r>
  </si>
  <si>
    <r>
      <rPr>
        <i/>
        <sz val="10"/>
        <color rgb="FF000000"/>
        <rFont val="Arial"/>
        <family val="2"/>
      </rPr>
      <t>Double Fun</t>
    </r>
    <r>
      <rPr>
        <sz val="10"/>
        <color indexed="64"/>
        <rFont val="Arial"/>
        <family val="2"/>
      </rPr>
      <t xml:space="preserve"> - Máscara Homem de Ferro e Hulk</t>
    </r>
  </si>
  <si>
    <r>
      <rPr>
        <i/>
        <sz val="10"/>
        <color rgb="FF000000"/>
        <rFont val="Arial"/>
        <family val="2"/>
      </rPr>
      <t>Double Fun</t>
    </r>
    <r>
      <rPr>
        <sz val="10"/>
        <color indexed="64"/>
        <rFont val="Arial"/>
        <family val="2"/>
      </rPr>
      <t xml:space="preserve"> - Máscara Homem Aranha e Capitão América</t>
    </r>
  </si>
  <si>
    <r>
      <rPr>
        <i/>
        <sz val="10"/>
        <color rgb="FF000000"/>
        <rFont val="Arial"/>
        <family val="2"/>
      </rPr>
      <t>Double Fun</t>
    </r>
    <r>
      <rPr>
        <sz val="10"/>
        <color indexed="64"/>
        <rFont val="Arial"/>
        <family val="2"/>
      </rPr>
      <t xml:space="preserve"> - Máscara Homem Aranha e Hulk</t>
    </r>
  </si>
  <si>
    <r>
      <rPr>
        <i/>
        <sz val="10"/>
        <color rgb="FF000000"/>
        <rFont val="Arial"/>
        <family val="2"/>
      </rPr>
      <t>Double Fun</t>
    </r>
    <r>
      <rPr>
        <sz val="10"/>
        <color indexed="64"/>
        <rFont val="Arial"/>
        <family val="2"/>
      </rPr>
      <t xml:space="preserve"> - Máscara Homem Aranha e Homem de Ferro</t>
    </r>
  </si>
  <si>
    <r>
      <rPr>
        <i/>
        <sz val="10"/>
        <color rgb="FF000000"/>
        <rFont val="Arial"/>
        <family val="2"/>
      </rPr>
      <t>Double Fun</t>
    </r>
    <r>
      <rPr>
        <sz val="10"/>
        <color indexed="64"/>
        <rFont val="Arial"/>
        <family val="2"/>
      </rPr>
      <t xml:space="preserve"> - Máscara Homem de Ferro e Thor</t>
    </r>
  </si>
  <si>
    <t>ACESSÓRIOS</t>
  </si>
  <si>
    <t>Chapéu Woody - EVA</t>
  </si>
  <si>
    <t>Chapéu Jessie - EVA</t>
  </si>
  <si>
    <t>Tiara Mickey - EVA</t>
  </si>
  <si>
    <t>Tiara Minnie - EVA</t>
  </si>
  <si>
    <t>Mão/Luva Hulk</t>
  </si>
  <si>
    <t>HF-071</t>
  </si>
  <si>
    <t>HF-072</t>
  </si>
  <si>
    <t>HF-073</t>
  </si>
  <si>
    <t>DOUBLE FUN - MÁSCARAS</t>
  </si>
  <si>
    <t>Mão/Luva Batman</t>
  </si>
  <si>
    <t>Mão/Luva Aranha</t>
  </si>
  <si>
    <t>HF-074</t>
  </si>
  <si>
    <t>HF-075</t>
  </si>
  <si>
    <t>HF-076</t>
  </si>
  <si>
    <t>HF-077</t>
  </si>
  <si>
    <t>HF-038</t>
  </si>
  <si>
    <t>Máscara Sonic</t>
  </si>
  <si>
    <t>Máscara Sonic - EVA</t>
  </si>
  <si>
    <t>HF-426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</si>
</sst>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  <numFmt numFmtId="167" formatCode="[DBNum2][$-804]General"/>
    <numFmt numFmtId="168" formatCode="000.00"/>
  </numFmts>
  <fonts count="27">
    <font>
      <sz val="10"/>
      <color indexed="64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indexed="8"/>
      <name val="宋体"/>
      <charset val="134"/>
    </font>
    <font>
      <sz val="8"/>
      <color indexed="64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color indexed="64"/>
      <name val="Arial"/>
      <family val="2"/>
    </font>
    <font>
      <sz val="10"/>
      <name val="Arial"/>
      <family val="2"/>
    </font>
    <font>
      <sz val="10"/>
      <color indexed="8"/>
      <name val="Times New Roman"/>
      <family val="1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10"/>
      <color indexed="64"/>
      <name val="Arial"/>
    </font>
    <font>
      <sz val="10"/>
      <color rgb="FF000000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sz val="8"/>
      <name val="Arial"/>
    </font>
    <font>
      <b/>
      <u/>
      <sz val="9"/>
      <name val="Arial"/>
      <family val="2"/>
    </font>
    <font>
      <b/>
      <i/>
      <u/>
      <sz val="12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  <font>
      <i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0">
    <xf numFmtId="0" fontId="0" fillId="0" borderId="0"/>
    <xf numFmtId="0" fontId="4" fillId="0" borderId="0"/>
    <xf numFmtId="0" fontId="7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167" fontId="4" fillId="0" borderId="0">
      <alignment vertical="center"/>
    </xf>
    <xf numFmtId="167" fontId="7" fillId="0" borderId="0">
      <alignment vertical="center"/>
    </xf>
    <xf numFmtId="0" fontId="11" fillId="0" borderId="0"/>
    <xf numFmtId="0" fontId="3" fillId="0" borderId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3" fillId="3" borderId="0">
      <alignment horizontal="left" vertical="top"/>
    </xf>
    <xf numFmtId="0" fontId="4" fillId="0" borderId="0"/>
    <xf numFmtId="0" fontId="11" fillId="0" borderId="0"/>
    <xf numFmtId="165" fontId="1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11" fillId="0" borderId="0"/>
    <xf numFmtId="0" fontId="2" fillId="0" borderId="0"/>
    <xf numFmtId="165" fontId="11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4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0" fillId="0" borderId="0" xfId="0" applyFont="1"/>
    <xf numFmtId="0" fontId="12" fillId="0" borderId="0" xfId="0" applyFont="1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166" fontId="0" fillId="0" borderId="0" xfId="0" applyNumberFormat="1" applyProtection="1">
      <protection locked="0"/>
    </xf>
    <xf numFmtId="0" fontId="14" fillId="2" borderId="0" xfId="0" applyFont="1" applyFill="1" applyAlignment="1" applyProtection="1">
      <alignment wrapText="1"/>
      <protection locked="0"/>
    </xf>
    <xf numFmtId="0" fontId="15" fillId="2" borderId="0" xfId="0" applyFont="1" applyFill="1" applyAlignment="1" applyProtection="1">
      <alignment wrapText="1"/>
      <protection locked="0"/>
    </xf>
    <xf numFmtId="0" fontId="0" fillId="2" borderId="0" xfId="0" applyFill="1" applyProtection="1">
      <protection locked="0"/>
    </xf>
    <xf numFmtId="0" fontId="8" fillId="2" borderId="0" xfId="0" applyFont="1" applyFill="1" applyProtection="1">
      <protection locked="0"/>
    </xf>
    <xf numFmtId="0" fontId="8" fillId="2" borderId="0" xfId="0" applyFont="1" applyFill="1" applyAlignment="1" applyProtection="1">
      <alignment wrapText="1"/>
      <protection locked="0"/>
    </xf>
    <xf numFmtId="0" fontId="10" fillId="0" borderId="0" xfId="0" applyFont="1" applyProtection="1"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44" fontId="10" fillId="0" borderId="1" xfId="21" applyFont="1" applyBorder="1" applyAlignment="1">
      <alignment horizontal="center" vertical="center" wrapText="1"/>
    </xf>
    <xf numFmtId="44" fontId="0" fillId="0" borderId="0" xfId="21" applyFont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left" vertical="top" wrapText="1"/>
    </xf>
    <xf numFmtId="168" fontId="17" fillId="0" borderId="1" xfId="0" applyNumberFormat="1" applyFont="1" applyBorder="1" applyAlignment="1">
      <alignment horizontal="center" vertical="center" shrinkToFit="1"/>
    </xf>
    <xf numFmtId="164" fontId="10" fillId="0" borderId="1" xfId="0" applyNumberFormat="1" applyFont="1" applyBorder="1" applyAlignment="1">
      <alignment horizontal="center" vertical="center" wrapText="1"/>
    </xf>
    <xf numFmtId="44" fontId="6" fillId="4" borderId="0" xfId="21" applyFont="1" applyFill="1" applyAlignment="1" applyProtection="1">
      <alignment horizontal="center" vertical="center" wrapText="1"/>
      <protection locked="0"/>
    </xf>
    <xf numFmtId="44" fontId="18" fillId="4" borderId="0" xfId="21" applyFont="1" applyFill="1" applyAlignment="1" applyProtection="1">
      <alignment horizontal="left" vertical="center"/>
      <protection locked="0"/>
    </xf>
    <xf numFmtId="44" fontId="6" fillId="4" borderId="0" xfId="21" applyFont="1" applyFill="1" applyProtection="1">
      <protection locked="0"/>
    </xf>
    <xf numFmtId="44" fontId="18" fillId="4" borderId="0" xfId="21" applyFont="1" applyFill="1" applyProtection="1">
      <protection locked="0"/>
    </xf>
    <xf numFmtId="44" fontId="18" fillId="4" borderId="0" xfId="21" applyFont="1" applyFill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vertical="center" wrapText="1"/>
      <protection locked="0"/>
    </xf>
    <xf numFmtId="0" fontId="6" fillId="5" borderId="0" xfId="0" applyFont="1" applyFill="1" applyAlignment="1" applyProtection="1">
      <alignment vertical="center"/>
      <protection locked="0"/>
    </xf>
    <xf numFmtId="166" fontId="5" fillId="5" borderId="0" xfId="0" applyNumberFormat="1" applyFont="1" applyFill="1" applyAlignment="1" applyProtection="1">
      <alignment horizontal="center" vertical="center"/>
      <protection locked="0"/>
    </xf>
    <xf numFmtId="14" fontId="6" fillId="5" borderId="0" xfId="0" applyNumberFormat="1" applyFont="1" applyFill="1" applyAlignment="1" applyProtection="1">
      <alignment horizontal="center" vertical="center"/>
      <protection locked="0"/>
    </xf>
    <xf numFmtId="44" fontId="8" fillId="5" borderId="0" xfId="21" applyFont="1" applyFill="1" applyAlignment="1" applyProtection="1">
      <alignment horizontal="center" vertical="center"/>
      <protection locked="0"/>
    </xf>
    <xf numFmtId="44" fontId="6" fillId="4" borderId="3" xfId="21" applyFont="1" applyFill="1" applyBorder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center" wrapText="1"/>
      <protection locked="0"/>
    </xf>
    <xf numFmtId="0" fontId="18" fillId="4" borderId="0" xfId="0" applyFont="1" applyFill="1" applyAlignment="1" applyProtection="1">
      <alignment vertical="center"/>
      <protection locked="0"/>
    </xf>
    <xf numFmtId="0" fontId="6" fillId="4" borderId="0" xfId="0" applyFont="1" applyFill="1" applyAlignment="1">
      <alignment horizontal="right" vertical="center"/>
    </xf>
    <xf numFmtId="0" fontId="6" fillId="4" borderId="2" xfId="0" applyFont="1" applyFill="1" applyBorder="1" applyAlignment="1" applyProtection="1">
      <alignment horizontal="left" vertical="center" wrapText="1"/>
      <protection locked="0"/>
    </xf>
    <xf numFmtId="0" fontId="6" fillId="4" borderId="3" xfId="0" applyFont="1" applyFill="1" applyBorder="1" applyAlignment="1" applyProtection="1">
      <alignment horizontal="left" vertical="center" wrapText="1"/>
      <protection locked="0"/>
    </xf>
    <xf numFmtId="0" fontId="6" fillId="4" borderId="0" xfId="0" applyFont="1" applyFill="1" applyAlignment="1" applyProtection="1">
      <alignment horizontal="left" vertical="center" wrapText="1"/>
      <protection locked="0"/>
    </xf>
    <xf numFmtId="0" fontId="6" fillId="4" borderId="0" xfId="0" applyFont="1" applyFill="1" applyAlignment="1" applyProtection="1">
      <alignment horizontal="left" vertical="center"/>
      <protection locked="0"/>
    </xf>
    <xf numFmtId="166" fontId="6" fillId="4" borderId="2" xfId="0" applyNumberFormat="1" applyFont="1" applyFill="1" applyBorder="1" applyAlignment="1" applyProtection="1">
      <alignment horizontal="left" vertical="center"/>
      <protection locked="0"/>
    </xf>
    <xf numFmtId="0" fontId="9" fillId="4" borderId="2" xfId="3" applyFill="1" applyBorder="1" applyAlignment="1">
      <alignment horizontal="left" vertical="center" wrapText="1"/>
      <protection locked="0"/>
    </xf>
    <xf numFmtId="0" fontId="19" fillId="4" borderId="3" xfId="3" applyFont="1" applyFill="1" applyBorder="1" applyAlignment="1">
      <alignment horizontal="left" vertical="center" wrapText="1"/>
      <protection locked="0"/>
    </xf>
    <xf numFmtId="0" fontId="18" fillId="4" borderId="0" xfId="0" applyFont="1" applyFill="1" applyProtection="1">
      <protection locked="0"/>
    </xf>
    <xf numFmtId="166" fontId="6" fillId="4" borderId="0" xfId="0" applyNumberFormat="1" applyFont="1" applyFill="1" applyAlignment="1" applyProtection="1">
      <alignment horizontal="left" vertical="center"/>
      <protection locked="0"/>
    </xf>
    <xf numFmtId="0" fontId="18" fillId="4" borderId="0" xfId="0" applyFont="1" applyFill="1" applyAlignment="1" applyProtection="1">
      <alignment horizontal="left" vertical="center"/>
      <protection locked="0"/>
    </xf>
    <xf numFmtId="0" fontId="6" fillId="4" borderId="2" xfId="3" applyFont="1" applyFill="1" applyBorder="1" applyAlignment="1">
      <alignment horizontal="left" vertical="center" wrapText="1"/>
      <protection locked="0"/>
    </xf>
    <xf numFmtId="0" fontId="6" fillId="4" borderId="3" xfId="3" applyFont="1" applyFill="1" applyBorder="1" applyAlignment="1">
      <alignment horizontal="left" vertical="center" wrapText="1"/>
      <protection locked="0"/>
    </xf>
    <xf numFmtId="0" fontId="6" fillId="4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right" vertical="center"/>
    </xf>
    <xf numFmtId="0" fontId="18" fillId="4" borderId="0" xfId="0" applyFont="1" applyFill="1"/>
    <xf numFmtId="166" fontId="18" fillId="4" borderId="0" xfId="0" applyNumberFormat="1" applyFont="1" applyFill="1" applyProtection="1">
      <protection locked="0"/>
    </xf>
    <xf numFmtId="0" fontId="18" fillId="4" borderId="0" xfId="0" applyFont="1" applyFill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vertical="center"/>
      <protection locked="0"/>
    </xf>
    <xf numFmtId="0" fontId="6" fillId="4" borderId="2" xfId="3" applyFont="1" applyFill="1" applyBorder="1" applyAlignment="1">
      <alignment horizontal="left" vertical="center" wrapText="1"/>
      <protection locked="0"/>
    </xf>
    <xf numFmtId="0" fontId="6" fillId="4" borderId="3" xfId="3" applyFont="1" applyFill="1" applyBorder="1" applyAlignment="1">
      <alignment horizontal="left" vertical="center" wrapText="1"/>
      <protection locked="0"/>
    </xf>
    <xf numFmtId="0" fontId="6" fillId="4" borderId="0" xfId="0" applyFont="1" applyFill="1" applyBorder="1" applyAlignment="1" applyProtection="1">
      <alignment horizontal="left" vertical="center" wrapText="1"/>
      <protection locked="0"/>
    </xf>
    <xf numFmtId="0" fontId="19" fillId="4" borderId="0" xfId="3" applyFont="1" applyFill="1" applyBorder="1" applyAlignment="1">
      <alignment horizontal="left" vertical="center" wrapText="1"/>
      <protection locked="0"/>
    </xf>
    <xf numFmtId="0" fontId="6" fillId="4" borderId="0" xfId="3" applyFont="1" applyFill="1" applyBorder="1" applyAlignment="1">
      <alignment horizontal="left" vertical="center" wrapText="1"/>
      <protection locked="0"/>
    </xf>
    <xf numFmtId="168" fontId="23" fillId="7" borderId="4" xfId="0" applyNumberFormat="1" applyFont="1" applyFill="1" applyBorder="1" applyAlignment="1">
      <alignment horizontal="center" vertical="center" shrinkToFit="1"/>
    </xf>
    <xf numFmtId="164" fontId="10" fillId="7" borderId="4" xfId="0" applyNumberFormat="1" applyFont="1" applyFill="1" applyBorder="1" applyAlignment="1">
      <alignment horizontal="center" vertical="center" wrapText="1"/>
    </xf>
    <xf numFmtId="44" fontId="10" fillId="7" borderId="1" xfId="2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top" wrapText="1"/>
    </xf>
    <xf numFmtId="0" fontId="17" fillId="8" borderId="4" xfId="0" applyNumberFormat="1" applyFont="1" applyFill="1" applyBorder="1" applyAlignment="1">
      <alignment horizontal="center" vertical="center" shrinkToFit="1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7" fillId="8" borderId="4" xfId="29" applyNumberFormat="1" applyFont="1" applyFill="1" applyBorder="1" applyAlignment="1">
      <alignment horizontal="center" vertical="center" shrinkToFit="1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44" fontId="10" fillId="4" borderId="1" xfId="21" applyFont="1" applyFill="1" applyBorder="1" applyAlignment="1">
      <alignment horizontal="center" vertical="center" wrapText="1"/>
    </xf>
    <xf numFmtId="0" fontId="6" fillId="7" borderId="1" xfId="0" applyFont="1" applyFill="1" applyBorder="1" applyAlignment="1" applyProtection="1">
      <alignment horizontal="center" vertical="center" wrapText="1"/>
      <protection locked="0"/>
    </xf>
    <xf numFmtId="166" fontId="6" fillId="7" borderId="1" xfId="0" applyNumberFormat="1" applyFont="1" applyFill="1" applyBorder="1" applyAlignment="1">
      <alignment horizontal="center" vertical="center" wrapText="1"/>
    </xf>
    <xf numFmtId="44" fontId="6" fillId="7" borderId="1" xfId="21" applyFont="1" applyFill="1" applyBorder="1" applyAlignment="1" applyProtection="1">
      <alignment horizontal="center" vertical="center" wrapText="1"/>
      <protection locked="0"/>
    </xf>
    <xf numFmtId="0" fontId="24" fillId="5" borderId="1" xfId="0" applyFont="1" applyFill="1" applyBorder="1" applyAlignment="1" applyProtection="1">
      <alignment horizontal="center" vertical="center" wrapText="1"/>
      <protection locked="0"/>
    </xf>
    <xf numFmtId="9" fontId="24" fillId="5" borderId="1" xfId="22" applyFont="1" applyFill="1" applyBorder="1" applyAlignment="1">
      <alignment horizontal="center" vertical="center" wrapText="1"/>
    </xf>
    <xf numFmtId="168" fontId="23" fillId="7" borderId="17" xfId="0" applyNumberFormat="1" applyFont="1" applyFill="1" applyBorder="1" applyAlignment="1">
      <alignment horizontal="center" vertical="center" shrinkToFit="1"/>
    </xf>
    <xf numFmtId="168" fontId="23" fillId="7" borderId="18" xfId="0" applyNumberFormat="1" applyFont="1" applyFill="1" applyBorder="1" applyAlignment="1">
      <alignment horizontal="center" vertical="center" shrinkToFit="1"/>
    </xf>
    <xf numFmtId="0" fontId="12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14" fontId="18" fillId="4" borderId="2" xfId="0" applyNumberFormat="1" applyFont="1" applyFill="1" applyBorder="1" applyAlignment="1">
      <alignment horizontal="center"/>
    </xf>
    <xf numFmtId="14" fontId="18" fillId="4" borderId="3" xfId="0" applyNumberFormat="1" applyFont="1" applyFill="1" applyBorder="1" applyAlignment="1">
      <alignment horizontal="center"/>
    </xf>
    <xf numFmtId="3" fontId="6" fillId="4" borderId="11" xfId="0" applyNumberFormat="1" applyFont="1" applyFill="1" applyBorder="1" applyAlignment="1" applyProtection="1">
      <alignment horizontal="left" vertical="center"/>
      <protection locked="0"/>
    </xf>
    <xf numFmtId="44" fontId="6" fillId="4" borderId="3" xfId="21" applyFont="1" applyFill="1" applyBorder="1" applyAlignment="1" applyProtection="1">
      <alignment horizontal="left" vertical="center"/>
      <protection locked="0"/>
    </xf>
    <xf numFmtId="166" fontId="6" fillId="4" borderId="2" xfId="0" applyNumberFormat="1" applyFont="1" applyFill="1" applyBorder="1" applyAlignment="1" applyProtection="1">
      <alignment horizontal="center" vertical="center"/>
      <protection locked="0"/>
    </xf>
    <xf numFmtId="166" fontId="6" fillId="4" borderId="3" xfId="0" applyNumberFormat="1" applyFont="1" applyFill="1" applyBorder="1" applyAlignment="1" applyProtection="1">
      <alignment horizontal="center" vertical="center"/>
      <protection locked="0"/>
    </xf>
    <xf numFmtId="14" fontId="6" fillId="4" borderId="2" xfId="0" applyNumberFormat="1" applyFont="1" applyFill="1" applyBorder="1" applyAlignment="1" applyProtection="1">
      <alignment horizontal="center" vertical="center"/>
      <protection locked="0"/>
    </xf>
    <xf numFmtId="14" fontId="6" fillId="4" borderId="3" xfId="0" applyNumberFormat="1" applyFont="1" applyFill="1" applyBorder="1" applyAlignment="1" applyProtection="1">
      <alignment horizontal="center" vertical="center"/>
      <protection locked="0"/>
    </xf>
    <xf numFmtId="0" fontId="18" fillId="4" borderId="2" xfId="0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6" fillId="4" borderId="2" xfId="0" applyFont="1" applyFill="1" applyBorder="1" applyAlignment="1" applyProtection="1">
      <alignment horizontal="left" vertical="center"/>
      <protection locked="0"/>
    </xf>
    <xf numFmtId="0" fontId="6" fillId="4" borderId="2" xfId="3" applyFont="1" applyFill="1" applyBorder="1" applyAlignment="1">
      <alignment horizontal="left" vertical="center" wrapText="1"/>
      <protection locked="0"/>
    </xf>
    <xf numFmtId="0" fontId="6" fillId="4" borderId="3" xfId="3" applyFont="1" applyFill="1" applyBorder="1" applyAlignment="1">
      <alignment horizontal="left" vertical="center" wrapText="1"/>
      <protection locked="0"/>
    </xf>
    <xf numFmtId="0" fontId="21" fillId="0" borderId="12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 wrapText="1"/>
    </xf>
    <xf numFmtId="0" fontId="21" fillId="0" borderId="14" xfId="0" applyFont="1" applyBorder="1" applyAlignment="1">
      <alignment horizontal="left" vertical="top" wrapText="1"/>
    </xf>
    <xf numFmtId="0" fontId="6" fillId="0" borderId="5" xfId="4" applyFont="1" applyBorder="1" applyAlignment="1" applyProtection="1">
      <alignment horizontal="left" vertical="top" wrapText="1"/>
      <protection locked="0"/>
    </xf>
    <xf numFmtId="0" fontId="6" fillId="0" borderId="6" xfId="4" applyFont="1" applyBorder="1" applyAlignment="1" applyProtection="1">
      <alignment horizontal="left" vertical="top" wrapText="1"/>
      <protection locked="0"/>
    </xf>
    <xf numFmtId="0" fontId="6" fillId="0" borderId="7" xfId="4" applyFont="1" applyBorder="1" applyAlignment="1" applyProtection="1">
      <alignment horizontal="left" vertical="top" wrapText="1"/>
      <protection locked="0"/>
    </xf>
    <xf numFmtId="0" fontId="6" fillId="0" borderId="8" xfId="4" applyFont="1" applyBorder="1" applyAlignment="1" applyProtection="1">
      <alignment horizontal="left" vertical="top" wrapText="1"/>
      <protection locked="0"/>
    </xf>
    <xf numFmtId="0" fontId="6" fillId="0" borderId="9" xfId="4" applyFont="1" applyBorder="1" applyAlignment="1" applyProtection="1">
      <alignment horizontal="left" vertical="top" wrapText="1"/>
      <protection locked="0"/>
    </xf>
    <xf numFmtId="0" fontId="6" fillId="0" borderId="10" xfId="4" applyFont="1" applyBorder="1" applyAlignment="1" applyProtection="1">
      <alignment horizontal="left" vertical="top" wrapText="1"/>
      <protection locked="0"/>
    </xf>
    <xf numFmtId="0" fontId="6" fillId="0" borderId="12" xfId="4" applyFont="1" applyBorder="1" applyAlignment="1" applyProtection="1">
      <alignment horizontal="center" vertical="top" wrapText="1"/>
      <protection locked="0"/>
    </xf>
    <xf numFmtId="0" fontId="6" fillId="0" borderId="13" xfId="4" applyFont="1" applyBorder="1" applyAlignment="1" applyProtection="1">
      <alignment horizontal="center" vertical="top" wrapText="1"/>
      <protection locked="0"/>
    </xf>
    <xf numFmtId="0" fontId="6" fillId="0" borderId="14" xfId="4" applyFont="1" applyBorder="1" applyAlignment="1" applyProtection="1">
      <alignment horizontal="center" vertical="top" wrapText="1"/>
      <protection locked="0"/>
    </xf>
    <xf numFmtId="0" fontId="22" fillId="6" borderId="5" xfId="0" applyFont="1" applyFill="1" applyBorder="1" applyAlignment="1" applyProtection="1">
      <alignment horizontal="center" vertical="center" wrapText="1"/>
      <protection locked="0"/>
    </xf>
    <xf numFmtId="0" fontId="22" fillId="6" borderId="6" xfId="0" applyFont="1" applyFill="1" applyBorder="1" applyAlignment="1" applyProtection="1">
      <alignment horizontal="center" vertical="center" wrapText="1"/>
      <protection locked="0"/>
    </xf>
    <xf numFmtId="0" fontId="22" fillId="6" borderId="7" xfId="0" applyFont="1" applyFill="1" applyBorder="1" applyAlignment="1" applyProtection="1">
      <alignment horizontal="center" vertical="center" wrapText="1"/>
      <protection locked="0"/>
    </xf>
    <xf numFmtId="0" fontId="22" fillId="6" borderId="15" xfId="0" applyFont="1" applyFill="1" applyBorder="1" applyAlignment="1" applyProtection="1">
      <alignment horizontal="center" vertical="center" wrapText="1"/>
      <protection locked="0"/>
    </xf>
    <xf numFmtId="0" fontId="22" fillId="6" borderId="0" xfId="0" applyFont="1" applyFill="1" applyBorder="1" applyAlignment="1" applyProtection="1">
      <alignment horizontal="center" vertical="center" wrapText="1"/>
      <protection locked="0"/>
    </xf>
    <xf numFmtId="0" fontId="22" fillId="6" borderId="16" xfId="0" applyFont="1" applyFill="1" applyBorder="1" applyAlignment="1" applyProtection="1">
      <alignment horizontal="center" vertical="center" wrapText="1"/>
      <protection locked="0"/>
    </xf>
    <xf numFmtId="0" fontId="12" fillId="8" borderId="6" xfId="0" applyFont="1" applyFill="1" applyBorder="1" applyAlignment="1" applyProtection="1">
      <alignment horizontal="center" vertical="center" wrapText="1"/>
      <protection locked="0"/>
    </xf>
    <xf numFmtId="0" fontId="6" fillId="0" borderId="12" xfId="1" applyFont="1" applyBorder="1" applyAlignment="1" applyProtection="1">
      <alignment horizontal="left" vertical="center" wrapText="1"/>
      <protection locked="0"/>
    </xf>
    <xf numFmtId="0" fontId="6" fillId="0" borderId="13" xfId="1" applyFont="1" applyBorder="1" applyAlignment="1" applyProtection="1">
      <alignment horizontal="left" vertical="center" wrapText="1"/>
      <protection locked="0"/>
    </xf>
    <xf numFmtId="44" fontId="6" fillId="0" borderId="14" xfId="21" applyFont="1" applyBorder="1" applyAlignment="1" applyProtection="1">
      <alignment horizontal="left" vertical="center" wrapText="1"/>
      <protection locked="0"/>
    </xf>
  </cellXfs>
  <cellStyles count="30">
    <cellStyle name="Hiperlink" xfId="3" builtinId="8"/>
    <cellStyle name="Moeda" xfId="21" builtinId="4"/>
    <cellStyle name="Moeda 2" xfId="11" xr:uid="{00000000-0005-0000-0000-000002000000}"/>
    <cellStyle name="Moeda 3" xfId="15" xr:uid="{00000000-0005-0000-0000-000003000000}"/>
    <cellStyle name="Moeda 3 2" xfId="20" xr:uid="{00000000-0005-0000-0000-000004000000}"/>
    <cellStyle name="Moeda 4" xfId="10" xr:uid="{00000000-0005-0000-0000-000005000000}"/>
    <cellStyle name="Moeda 4 2" xfId="17" xr:uid="{00000000-0005-0000-0000-000006000000}"/>
    <cellStyle name="Moeda 4 2 2" xfId="26" xr:uid="{57FE45B6-C043-479B-A99F-406D18F29BA8}"/>
    <cellStyle name="Moeda 4 3" xfId="24" xr:uid="{E3F3D49D-3486-47DC-8935-04E1D368ECAC}"/>
    <cellStyle name="Moeda 5" xfId="28" xr:uid="{DAA26E85-9E77-478C-A3ED-81421920AFE6}"/>
    <cellStyle name="Normal" xfId="0" builtinId="0"/>
    <cellStyle name="Normal 11" xfId="5" xr:uid="{00000000-0005-0000-0000-000008000000}"/>
    <cellStyle name="Normal 2" xfId="1" xr:uid="{00000000-0005-0000-0000-000009000000}"/>
    <cellStyle name="Normal 3" xfId="2" xr:uid="{00000000-0005-0000-0000-00000A000000}"/>
    <cellStyle name="Normal 4" xfId="6" xr:uid="{00000000-0005-0000-0000-00000B000000}"/>
    <cellStyle name="Normal 5" xfId="4" xr:uid="{00000000-0005-0000-0000-00000C000000}"/>
    <cellStyle name="Normal 6" xfId="8" xr:uid="{00000000-0005-0000-0000-00000D000000}"/>
    <cellStyle name="Normal 6 2" xfId="9" xr:uid="{00000000-0005-0000-0000-00000E000000}"/>
    <cellStyle name="Normal 6 2 2" xfId="19" xr:uid="{00000000-0005-0000-0000-00000F000000}"/>
    <cellStyle name="Normal 6 2 2 2" xfId="27" xr:uid="{EEC0595F-CF8E-45B0-B993-F391BF4CE5B8}"/>
    <cellStyle name="Normal 6 2 3" xfId="23" xr:uid="{B28171F3-5734-4A94-A177-D1FEFDCECDE9}"/>
    <cellStyle name="Normal 6 3" xfId="18" xr:uid="{00000000-0005-0000-0000-000010000000}"/>
    <cellStyle name="Normal 6 4" xfId="16" xr:uid="{00000000-0005-0000-0000-000011000000}"/>
    <cellStyle name="Normal 6 4 2" xfId="25" xr:uid="{8F3E88B3-9267-404D-9C93-E4ED26EB9E7E}"/>
    <cellStyle name="Normal 7" xfId="7" xr:uid="{00000000-0005-0000-0000-000012000000}"/>
    <cellStyle name="Normal 8" xfId="14" xr:uid="{00000000-0005-0000-0000-000013000000}"/>
    <cellStyle name="Porcentagem" xfId="22" builtinId="5"/>
    <cellStyle name="S3" xfId="12" xr:uid="{00000000-0005-0000-0000-000015000000}"/>
    <cellStyle name="Vírgula" xfId="29" builtinId="3"/>
    <cellStyle name="常规_Sheet1" xfId="13" xr:uid="{00000000-0005-0000-0000-000016000000}"/>
  </cellStyles>
  <dxfs count="65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theme="6"/>
        </patternFill>
      </fill>
    </dxf>
    <dxf>
      <fill>
        <patternFill>
          <bgColor rgb="FFFFFF66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000400"/>
      <rgbColor rgb="00FEFFFF"/>
      <rgbColor rgb="00FF0400"/>
      <rgbColor rgb="0000FF00"/>
      <rgbColor rgb="000004FF"/>
      <rgbColor rgb="00FFFF00"/>
      <rgbColor rgb="00FF04FF"/>
      <rgbColor rgb="0000FFFF"/>
      <rgbColor rgb="00840400"/>
      <rgbColor rgb="00008600"/>
      <rgbColor rgb="00000484"/>
      <rgbColor rgb="00848600"/>
      <rgbColor rgb="00840484"/>
      <rgbColor rgb="00008684"/>
      <rgbColor rgb="00C6C7C6"/>
      <rgbColor rgb="00848684"/>
      <rgbColor rgb="009496FF"/>
      <rgbColor rgb="00943463"/>
      <rgbColor rgb="00FFFFC6"/>
      <rgbColor rgb="00C6FFFF"/>
      <rgbColor rgb="00630463"/>
      <rgbColor rgb="00FF8684"/>
      <rgbColor rgb="000065C6"/>
      <rgbColor rgb="00C6C7FF"/>
      <rgbColor rgb="00000484"/>
      <rgbColor rgb="00FF04FF"/>
      <rgbColor rgb="00FFFF00"/>
      <rgbColor rgb="0000FFFF"/>
      <rgbColor rgb="00840484"/>
      <rgbColor rgb="00840400"/>
      <rgbColor rgb="00008684"/>
      <rgbColor rgb="000004FF"/>
      <rgbColor rgb="0000C7FF"/>
      <rgbColor rgb="00C6FFFF"/>
      <rgbColor rgb="00C6FFC6"/>
      <rgbColor rgb="00FFFF94"/>
      <rgbColor rgb="0094CFFF"/>
      <rgbColor rgb="00FF96C6"/>
      <rgbColor rgb="00C696FF"/>
      <rgbColor rgb="00FFCF94"/>
      <rgbColor rgb="003165FF"/>
      <rgbColor rgb="0031C7C6"/>
      <rgbColor rgb="0094C700"/>
      <rgbColor rgb="00FFC700"/>
      <rgbColor rgb="00FF9600"/>
      <rgbColor rgb="00FF6500"/>
      <rgbColor rgb="00636594"/>
      <rgbColor rgb="00949694"/>
    </indexedColors>
    <mruColors>
      <color rgb="FFFF0066"/>
      <color rgb="FFFF6600"/>
      <color rgb="FFFFFFCC"/>
      <color rgb="FFFFFF66"/>
      <color rgb="FFCCCC00"/>
      <color rgb="FFCCFF66"/>
      <color rgb="FFFF99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2581"/>
  <sheetViews>
    <sheetView tabSelected="1" zoomScaleNormal="100" workbookViewId="0">
      <selection activeCell="C150" sqref="C150"/>
    </sheetView>
  </sheetViews>
  <sheetFormatPr defaultColWidth="0" defaultRowHeight="13.2" zeroHeight="1"/>
  <cols>
    <col min="1" max="1" width="2.33203125" customWidth="1"/>
    <col min="2" max="2" width="67.5546875" style="5" customWidth="1"/>
    <col min="3" max="3" width="9.33203125" style="5" bestFit="1" customWidth="1"/>
    <col min="4" max="4" width="6.88671875" style="5" customWidth="1"/>
    <col min="5" max="5" width="10.88671875" style="6" customWidth="1"/>
    <col min="6" max="6" width="11.77734375" style="4" customWidth="1"/>
    <col min="7" max="7" width="12.5546875" style="2" bestFit="1" customWidth="1"/>
    <col min="8" max="16382" width="9.109375" style="1" hidden="1"/>
    <col min="16383" max="16383" width="1.44140625" style="1" customWidth="1"/>
    <col min="16384" max="16384" width="0.44140625" style="1" customWidth="1"/>
  </cols>
  <sheetData>
    <row r="1" spans="1:7" ht="13.8" thickBot="1">
      <c r="B1" s="30" t="s">
        <v>12</v>
      </c>
      <c r="C1" s="31"/>
      <c r="D1" s="31"/>
      <c r="E1" s="32" t="s">
        <v>17</v>
      </c>
      <c r="F1" s="74"/>
      <c r="G1" s="75"/>
    </row>
    <row r="2" spans="1:7" ht="13.8" thickBot="1">
      <c r="B2" s="33"/>
      <c r="C2" s="34"/>
      <c r="D2" s="53"/>
      <c r="E2" s="32" t="s">
        <v>2</v>
      </c>
      <c r="F2" s="76"/>
      <c r="G2" s="77"/>
    </row>
    <row r="3" spans="1:7" ht="13.8" thickBot="1">
      <c r="B3" s="35" t="s">
        <v>1</v>
      </c>
      <c r="C3" s="36"/>
      <c r="D3" s="36"/>
      <c r="E3" s="32" t="s">
        <v>3</v>
      </c>
      <c r="F3" s="76"/>
      <c r="G3" s="77"/>
    </row>
    <row r="4" spans="1:7" ht="13.8" thickBot="1">
      <c r="B4" s="33"/>
      <c r="C4" s="34"/>
      <c r="D4" s="53"/>
      <c r="E4" s="32" t="s">
        <v>4</v>
      </c>
      <c r="F4" s="37"/>
      <c r="G4" s="29"/>
    </row>
    <row r="5" spans="1:7" ht="13.8" thickBot="1">
      <c r="B5" s="35" t="s">
        <v>5</v>
      </c>
      <c r="C5" s="36"/>
      <c r="D5" s="36"/>
      <c r="E5" s="32" t="s">
        <v>6</v>
      </c>
      <c r="F5" s="84"/>
      <c r="G5" s="77"/>
    </row>
    <row r="6" spans="1:7" ht="13.8" thickBot="1">
      <c r="B6" s="38"/>
      <c r="C6" s="39"/>
      <c r="D6" s="54"/>
      <c r="E6" s="40"/>
      <c r="F6" s="40"/>
      <c r="G6" s="19"/>
    </row>
    <row r="7" spans="1:7" ht="13.8" thickBot="1">
      <c r="B7" s="35" t="s">
        <v>8</v>
      </c>
      <c r="C7" s="36"/>
      <c r="D7" s="36"/>
      <c r="E7" s="41"/>
      <c r="F7" s="42"/>
      <c r="G7" s="19"/>
    </row>
    <row r="8" spans="1:7" ht="13.8" thickBot="1">
      <c r="B8" s="43"/>
      <c r="C8" s="44"/>
      <c r="D8" s="55"/>
      <c r="E8" s="32" t="s">
        <v>18</v>
      </c>
      <c r="F8" s="78"/>
      <c r="G8" s="79"/>
    </row>
    <row r="9" spans="1:7" ht="13.8" thickBot="1">
      <c r="B9" s="45" t="s">
        <v>10</v>
      </c>
      <c r="C9" s="40"/>
      <c r="D9" s="40"/>
      <c r="E9" s="46"/>
      <c r="F9" s="41"/>
      <c r="G9" s="20"/>
    </row>
    <row r="10" spans="1:7" ht="13.8" thickBot="1">
      <c r="B10" s="51"/>
      <c r="C10" s="52"/>
      <c r="D10" s="40"/>
      <c r="E10" s="32" t="s">
        <v>11</v>
      </c>
      <c r="F10" s="80"/>
      <c r="G10" s="81"/>
    </row>
    <row r="11" spans="1:7" s="12" customFormat="1" ht="13.8" thickBot="1">
      <c r="A11" s="3"/>
      <c r="B11" s="35" t="s">
        <v>20</v>
      </c>
      <c r="C11" s="36"/>
      <c r="D11" s="36"/>
      <c r="E11" s="47"/>
      <c r="F11" s="47"/>
      <c r="G11" s="21"/>
    </row>
    <row r="12" spans="1:7" ht="13.8" thickBot="1">
      <c r="B12" s="85"/>
      <c r="C12" s="86"/>
      <c r="D12" s="55"/>
      <c r="E12" s="32" t="s">
        <v>19</v>
      </c>
      <c r="F12" s="82"/>
      <c r="G12" s="83"/>
    </row>
    <row r="13" spans="1:7" ht="13.8" thickBot="1">
      <c r="B13" s="45" t="s">
        <v>7</v>
      </c>
      <c r="C13" s="40"/>
      <c r="D13" s="40"/>
      <c r="E13" s="41"/>
      <c r="F13" s="42"/>
      <c r="G13" s="22"/>
    </row>
    <row r="14" spans="1:7" ht="13.8" thickBot="1">
      <c r="B14" s="51"/>
      <c r="C14" s="52"/>
      <c r="D14" s="40"/>
      <c r="E14" s="40"/>
      <c r="F14" s="40"/>
      <c r="G14" s="22"/>
    </row>
    <row r="15" spans="1:7" ht="13.8" thickBot="1">
      <c r="B15" s="45" t="s">
        <v>9</v>
      </c>
      <c r="C15" s="40"/>
      <c r="D15" s="40"/>
      <c r="E15" s="48"/>
      <c r="F15" s="49"/>
      <c r="G15" s="19"/>
    </row>
    <row r="16" spans="1:7" ht="13.8" thickBot="1">
      <c r="B16" s="51"/>
      <c r="C16" s="52"/>
      <c r="D16" s="50"/>
      <c r="E16" s="48"/>
      <c r="F16" s="49"/>
      <c r="G16" s="23"/>
    </row>
    <row r="17" spans="1:7">
      <c r="A17" s="1"/>
      <c r="B17" s="24"/>
      <c r="C17" s="25"/>
      <c r="D17" s="25"/>
      <c r="E17" s="26"/>
      <c r="F17" s="27"/>
      <c r="G17" s="28"/>
    </row>
    <row r="18" spans="1:7" ht="19.8" customHeight="1">
      <c r="A18" s="1"/>
      <c r="B18" s="65" t="s">
        <v>13</v>
      </c>
      <c r="C18" s="65" t="s">
        <v>104</v>
      </c>
      <c r="D18" s="65" t="s">
        <v>103</v>
      </c>
      <c r="E18" s="66" t="s">
        <v>105</v>
      </c>
      <c r="F18" s="65" t="s">
        <v>16</v>
      </c>
      <c r="G18" s="67" t="s">
        <v>0</v>
      </c>
    </row>
    <row r="19" spans="1:7">
      <c r="A19" s="1"/>
      <c r="B19" s="99" t="s">
        <v>72</v>
      </c>
      <c r="C19" s="100"/>
      <c r="D19" s="100"/>
      <c r="E19" s="100"/>
      <c r="F19" s="100"/>
      <c r="G19" s="101"/>
    </row>
    <row r="20" spans="1:7">
      <c r="A20" s="1"/>
      <c r="B20" s="102"/>
      <c r="C20" s="103"/>
      <c r="D20" s="103"/>
      <c r="E20" s="103"/>
      <c r="F20" s="103"/>
      <c r="G20" s="104"/>
    </row>
    <row r="21" spans="1:7">
      <c r="A21" s="11"/>
      <c r="B21" s="59" t="s">
        <v>160</v>
      </c>
      <c r="C21" s="70" t="s">
        <v>21</v>
      </c>
      <c r="D21" s="60">
        <v>12</v>
      </c>
      <c r="E21" s="57">
        <v>3.95</v>
      </c>
      <c r="F21" s="61"/>
      <c r="G21" s="58">
        <f>D21*E21*F21</f>
        <v>0</v>
      </c>
    </row>
    <row r="22" spans="1:7">
      <c r="A22" s="8"/>
      <c r="B22" s="59" t="s">
        <v>161</v>
      </c>
      <c r="C22" s="70" t="s">
        <v>22</v>
      </c>
      <c r="D22" s="60">
        <v>12</v>
      </c>
      <c r="E22" s="57">
        <v>4.75</v>
      </c>
      <c r="F22" s="61"/>
      <c r="G22" s="58">
        <f>D22*E22*F22</f>
        <v>0</v>
      </c>
    </row>
    <row r="23" spans="1:7">
      <c r="A23" s="8"/>
      <c r="B23" s="59" t="s">
        <v>162</v>
      </c>
      <c r="C23" s="70" t="s">
        <v>23</v>
      </c>
      <c r="D23" s="60">
        <v>12</v>
      </c>
      <c r="E23" s="57">
        <v>6.45</v>
      </c>
      <c r="F23" s="61"/>
      <c r="G23" s="58">
        <f t="shared" ref="G23:G58" si="0">D23*E23*F23</f>
        <v>0</v>
      </c>
    </row>
    <row r="24" spans="1:7">
      <c r="A24" s="8"/>
      <c r="B24" s="59" t="s">
        <v>163</v>
      </c>
      <c r="C24" s="70" t="s">
        <v>24</v>
      </c>
      <c r="D24" s="60">
        <v>12</v>
      </c>
      <c r="E24" s="57">
        <v>6.45</v>
      </c>
      <c r="F24" s="61"/>
      <c r="G24" s="58">
        <f t="shared" si="0"/>
        <v>0</v>
      </c>
    </row>
    <row r="25" spans="1:7">
      <c r="A25" s="11"/>
      <c r="B25" s="59" t="s">
        <v>164</v>
      </c>
      <c r="C25" s="70" t="s">
        <v>25</v>
      </c>
      <c r="D25" s="60">
        <v>12</v>
      </c>
      <c r="E25" s="57">
        <v>3.95</v>
      </c>
      <c r="F25" s="61"/>
      <c r="G25" s="58">
        <f t="shared" si="0"/>
        <v>0</v>
      </c>
    </row>
    <row r="26" spans="1:7">
      <c r="A26" s="11"/>
      <c r="B26" s="59" t="s">
        <v>165</v>
      </c>
      <c r="C26" s="70" t="s">
        <v>26</v>
      </c>
      <c r="D26" s="60">
        <v>12</v>
      </c>
      <c r="E26" s="57">
        <v>6.45</v>
      </c>
      <c r="F26" s="61"/>
      <c r="G26" s="58">
        <f t="shared" si="0"/>
        <v>0</v>
      </c>
    </row>
    <row r="27" spans="1:7">
      <c r="A27" s="11"/>
      <c r="B27" s="59" t="s">
        <v>166</v>
      </c>
      <c r="C27" s="70" t="s">
        <v>27</v>
      </c>
      <c r="D27" s="60">
        <v>12</v>
      </c>
      <c r="E27" s="57">
        <v>6.45</v>
      </c>
      <c r="F27" s="61"/>
      <c r="G27" s="58">
        <f t="shared" si="0"/>
        <v>0</v>
      </c>
    </row>
    <row r="28" spans="1:7">
      <c r="A28" s="7"/>
      <c r="B28" s="59" t="s">
        <v>167</v>
      </c>
      <c r="C28" s="70" t="s">
        <v>28</v>
      </c>
      <c r="D28" s="60">
        <v>12</v>
      </c>
      <c r="E28" s="57">
        <v>6.45</v>
      </c>
      <c r="F28" s="61"/>
      <c r="G28" s="58">
        <f t="shared" si="0"/>
        <v>0</v>
      </c>
    </row>
    <row r="29" spans="1:7">
      <c r="A29" s="7"/>
      <c r="B29" s="59" t="s">
        <v>168</v>
      </c>
      <c r="C29" s="70" t="s">
        <v>29</v>
      </c>
      <c r="D29" s="60">
        <v>12</v>
      </c>
      <c r="E29" s="57">
        <v>6.45</v>
      </c>
      <c r="F29" s="61"/>
      <c r="G29" s="58">
        <f t="shared" si="0"/>
        <v>0</v>
      </c>
    </row>
    <row r="30" spans="1:7">
      <c r="A30" s="7"/>
      <c r="B30" s="59" t="s">
        <v>169</v>
      </c>
      <c r="C30" s="70" t="s">
        <v>30</v>
      </c>
      <c r="D30" s="60">
        <v>12</v>
      </c>
      <c r="E30" s="57">
        <v>6.45</v>
      </c>
      <c r="F30" s="61"/>
      <c r="G30" s="58">
        <f t="shared" si="0"/>
        <v>0</v>
      </c>
    </row>
    <row r="31" spans="1:7">
      <c r="A31" s="7"/>
      <c r="B31" s="59" t="s">
        <v>170</v>
      </c>
      <c r="C31" s="70" t="s">
        <v>31</v>
      </c>
      <c r="D31" s="60">
        <v>12</v>
      </c>
      <c r="E31" s="57">
        <v>6.45</v>
      </c>
      <c r="F31" s="61"/>
      <c r="G31" s="58">
        <f t="shared" si="0"/>
        <v>0</v>
      </c>
    </row>
    <row r="32" spans="1:7">
      <c r="A32" s="7"/>
      <c r="B32" s="59" t="s">
        <v>171</v>
      </c>
      <c r="C32" s="70" t="s">
        <v>32</v>
      </c>
      <c r="D32" s="60">
        <v>12</v>
      </c>
      <c r="E32" s="57">
        <v>6.45</v>
      </c>
      <c r="F32" s="61"/>
      <c r="G32" s="58">
        <f t="shared" si="0"/>
        <v>0</v>
      </c>
    </row>
    <row r="33" spans="1:7">
      <c r="A33" s="7"/>
      <c r="B33" s="59" t="s">
        <v>172</v>
      </c>
      <c r="C33" s="70" t="s">
        <v>33</v>
      </c>
      <c r="D33" s="60">
        <v>12</v>
      </c>
      <c r="E33" s="57">
        <v>6.45</v>
      </c>
      <c r="F33" s="61"/>
      <c r="G33" s="58">
        <f t="shared" si="0"/>
        <v>0</v>
      </c>
    </row>
    <row r="34" spans="1:7">
      <c r="A34" s="7"/>
      <c r="B34" s="59" t="s">
        <v>173</v>
      </c>
      <c r="C34" s="70" t="s">
        <v>34</v>
      </c>
      <c r="D34" s="60">
        <v>12</v>
      </c>
      <c r="E34" s="57">
        <v>6.45</v>
      </c>
      <c r="F34" s="61"/>
      <c r="G34" s="58">
        <f t="shared" si="0"/>
        <v>0</v>
      </c>
    </row>
    <row r="35" spans="1:7">
      <c r="A35" s="7"/>
      <c r="B35" s="59" t="s">
        <v>174</v>
      </c>
      <c r="C35" s="70" t="s">
        <v>35</v>
      </c>
      <c r="D35" s="60">
        <v>12</v>
      </c>
      <c r="E35" s="57">
        <v>6.45</v>
      </c>
      <c r="F35" s="61"/>
      <c r="G35" s="58">
        <f t="shared" si="0"/>
        <v>0</v>
      </c>
    </row>
    <row r="36" spans="1:7">
      <c r="A36" s="7"/>
      <c r="B36" s="59" t="s">
        <v>175</v>
      </c>
      <c r="C36" s="70" t="s">
        <v>36</v>
      </c>
      <c r="D36" s="60">
        <v>12</v>
      </c>
      <c r="E36" s="57">
        <v>6.45</v>
      </c>
      <c r="F36" s="61"/>
      <c r="G36" s="58">
        <f t="shared" si="0"/>
        <v>0</v>
      </c>
    </row>
    <row r="37" spans="1:7">
      <c r="A37" s="7"/>
      <c r="B37" s="59" t="s">
        <v>176</v>
      </c>
      <c r="C37" s="70" t="s">
        <v>37</v>
      </c>
      <c r="D37" s="60">
        <v>12</v>
      </c>
      <c r="E37" s="57">
        <v>6.45</v>
      </c>
      <c r="F37" s="61"/>
      <c r="G37" s="58">
        <f t="shared" si="0"/>
        <v>0</v>
      </c>
    </row>
    <row r="38" spans="1:7">
      <c r="A38" s="7"/>
      <c r="B38" s="59" t="s">
        <v>177</v>
      </c>
      <c r="C38" s="70" t="s">
        <v>38</v>
      </c>
      <c r="D38" s="60">
        <v>12</v>
      </c>
      <c r="E38" s="57">
        <v>6.45</v>
      </c>
      <c r="F38" s="61"/>
      <c r="G38" s="58">
        <f t="shared" si="0"/>
        <v>0</v>
      </c>
    </row>
    <row r="39" spans="1:7">
      <c r="A39" s="7"/>
      <c r="B39" s="59" t="s">
        <v>178</v>
      </c>
      <c r="C39" s="70" t="s">
        <v>39</v>
      </c>
      <c r="D39" s="60">
        <v>12</v>
      </c>
      <c r="E39" s="57">
        <v>6.45</v>
      </c>
      <c r="F39" s="61"/>
      <c r="G39" s="58">
        <f t="shared" si="0"/>
        <v>0</v>
      </c>
    </row>
    <row r="40" spans="1:7">
      <c r="A40" s="7"/>
      <c r="B40" s="59" t="s">
        <v>179</v>
      </c>
      <c r="C40" s="70" t="s">
        <v>40</v>
      </c>
      <c r="D40" s="60">
        <v>12</v>
      </c>
      <c r="E40" s="57">
        <v>6.45</v>
      </c>
      <c r="F40" s="61"/>
      <c r="G40" s="58">
        <f t="shared" si="0"/>
        <v>0</v>
      </c>
    </row>
    <row r="41" spans="1:7">
      <c r="A41" s="7"/>
      <c r="B41" s="59" t="s">
        <v>180</v>
      </c>
      <c r="C41" s="70" t="s">
        <v>41</v>
      </c>
      <c r="D41" s="60">
        <v>12</v>
      </c>
      <c r="E41" s="57">
        <v>3.95</v>
      </c>
      <c r="F41" s="61"/>
      <c r="G41" s="58">
        <f t="shared" si="0"/>
        <v>0</v>
      </c>
    </row>
    <row r="42" spans="1:7">
      <c r="A42" s="7"/>
      <c r="B42" s="59" t="s">
        <v>181</v>
      </c>
      <c r="C42" s="70" t="s">
        <v>42</v>
      </c>
      <c r="D42" s="60">
        <v>12</v>
      </c>
      <c r="E42" s="57">
        <v>3.95</v>
      </c>
      <c r="F42" s="61"/>
      <c r="G42" s="58">
        <f t="shared" si="0"/>
        <v>0</v>
      </c>
    </row>
    <row r="43" spans="1:7">
      <c r="A43" s="7"/>
      <c r="B43" s="59" t="s">
        <v>182</v>
      </c>
      <c r="C43" s="70" t="s">
        <v>43</v>
      </c>
      <c r="D43" s="60">
        <v>12</v>
      </c>
      <c r="E43" s="57">
        <v>6.45</v>
      </c>
      <c r="F43" s="61"/>
      <c r="G43" s="58">
        <f t="shared" si="0"/>
        <v>0</v>
      </c>
    </row>
    <row r="44" spans="1:7">
      <c r="A44" s="7"/>
      <c r="B44" s="59" t="s">
        <v>183</v>
      </c>
      <c r="C44" s="70" t="s">
        <v>44</v>
      </c>
      <c r="D44" s="60">
        <v>12</v>
      </c>
      <c r="E44" s="57">
        <v>6.45</v>
      </c>
      <c r="F44" s="61"/>
      <c r="G44" s="58">
        <f t="shared" si="0"/>
        <v>0</v>
      </c>
    </row>
    <row r="45" spans="1:7">
      <c r="A45" s="7"/>
      <c r="B45" s="59" t="s">
        <v>184</v>
      </c>
      <c r="C45" s="70" t="s">
        <v>45</v>
      </c>
      <c r="D45" s="60">
        <v>12</v>
      </c>
      <c r="E45" s="57">
        <v>6.45</v>
      </c>
      <c r="F45" s="61"/>
      <c r="G45" s="58">
        <f t="shared" si="0"/>
        <v>0</v>
      </c>
    </row>
    <row r="46" spans="1:7">
      <c r="A46" s="7"/>
      <c r="B46" s="59" t="s">
        <v>185</v>
      </c>
      <c r="C46" s="70" t="s">
        <v>46</v>
      </c>
      <c r="D46" s="60">
        <v>12</v>
      </c>
      <c r="E46" s="57">
        <v>6.45</v>
      </c>
      <c r="F46" s="61"/>
      <c r="G46" s="58">
        <f t="shared" si="0"/>
        <v>0</v>
      </c>
    </row>
    <row r="47" spans="1:7">
      <c r="A47" s="7"/>
      <c r="B47" s="59" t="s">
        <v>186</v>
      </c>
      <c r="C47" s="70" t="s">
        <v>47</v>
      </c>
      <c r="D47" s="60">
        <v>12</v>
      </c>
      <c r="E47" s="57">
        <v>6.45</v>
      </c>
      <c r="F47" s="61"/>
      <c r="G47" s="58">
        <f t="shared" si="0"/>
        <v>0</v>
      </c>
    </row>
    <row r="48" spans="1:7">
      <c r="A48" s="7"/>
      <c r="B48" s="59" t="s">
        <v>187</v>
      </c>
      <c r="C48" s="70" t="s">
        <v>48</v>
      </c>
      <c r="D48" s="60">
        <v>12</v>
      </c>
      <c r="E48" s="57">
        <v>6.45</v>
      </c>
      <c r="F48" s="61"/>
      <c r="G48" s="58">
        <f t="shared" si="0"/>
        <v>0</v>
      </c>
    </row>
    <row r="49" spans="1:7">
      <c r="A49" s="7"/>
      <c r="B49" s="59" t="s">
        <v>188</v>
      </c>
      <c r="C49" s="70" t="s">
        <v>49</v>
      </c>
      <c r="D49" s="60">
        <v>12</v>
      </c>
      <c r="E49" s="57">
        <v>6.45</v>
      </c>
      <c r="F49" s="61"/>
      <c r="G49" s="58">
        <f t="shared" si="0"/>
        <v>0</v>
      </c>
    </row>
    <row r="50" spans="1:7">
      <c r="A50" s="7"/>
      <c r="B50" s="59" t="s">
        <v>189</v>
      </c>
      <c r="C50" s="70" t="s">
        <v>50</v>
      </c>
      <c r="D50" s="60">
        <v>12</v>
      </c>
      <c r="E50" s="57">
        <v>6.45</v>
      </c>
      <c r="F50" s="61"/>
      <c r="G50" s="58">
        <f t="shared" si="0"/>
        <v>0</v>
      </c>
    </row>
    <row r="51" spans="1:7">
      <c r="A51" s="7"/>
      <c r="B51" s="59" t="s">
        <v>190</v>
      </c>
      <c r="C51" s="70" t="s">
        <v>51</v>
      </c>
      <c r="D51" s="60">
        <v>12</v>
      </c>
      <c r="E51" s="57">
        <v>5.95</v>
      </c>
      <c r="F51" s="61"/>
      <c r="G51" s="58">
        <f t="shared" si="0"/>
        <v>0</v>
      </c>
    </row>
    <row r="52" spans="1:7">
      <c r="A52" s="7"/>
      <c r="B52" s="59" t="s">
        <v>97</v>
      </c>
      <c r="C52" s="70" t="s">
        <v>52</v>
      </c>
      <c r="D52" s="60">
        <v>12</v>
      </c>
      <c r="E52" s="57">
        <v>4.75</v>
      </c>
      <c r="F52" s="61"/>
      <c r="G52" s="58">
        <f t="shared" si="0"/>
        <v>0</v>
      </c>
    </row>
    <row r="53" spans="1:7">
      <c r="A53" s="7"/>
      <c r="B53" s="59" t="s">
        <v>98</v>
      </c>
      <c r="C53" s="70" t="s">
        <v>61</v>
      </c>
      <c r="D53" s="60">
        <v>12</v>
      </c>
      <c r="E53" s="57">
        <v>5.95</v>
      </c>
      <c r="F53" s="61"/>
      <c r="G53" s="58">
        <f t="shared" si="0"/>
        <v>0</v>
      </c>
    </row>
    <row r="54" spans="1:7">
      <c r="A54" s="7"/>
      <c r="B54" s="59" t="s">
        <v>99</v>
      </c>
      <c r="C54" s="70" t="s">
        <v>62</v>
      </c>
      <c r="D54" s="60">
        <v>12</v>
      </c>
      <c r="E54" s="57">
        <v>5.95</v>
      </c>
      <c r="F54" s="61"/>
      <c r="G54" s="58">
        <f t="shared" si="0"/>
        <v>0</v>
      </c>
    </row>
    <row r="55" spans="1:7">
      <c r="A55" s="8"/>
      <c r="B55" s="59" t="s">
        <v>100</v>
      </c>
      <c r="C55" s="70" t="s">
        <v>63</v>
      </c>
      <c r="D55" s="60">
        <v>12</v>
      </c>
      <c r="E55" s="57">
        <v>5.95</v>
      </c>
      <c r="F55" s="61"/>
      <c r="G55" s="58">
        <f t="shared" si="0"/>
        <v>0</v>
      </c>
    </row>
    <row r="56" spans="1:7">
      <c r="A56" s="8"/>
      <c r="B56" s="59" t="s">
        <v>101</v>
      </c>
      <c r="C56" s="70" t="s">
        <v>70</v>
      </c>
      <c r="D56" s="60">
        <v>12</v>
      </c>
      <c r="E56" s="57">
        <v>5.95</v>
      </c>
      <c r="F56" s="61"/>
      <c r="G56" s="58">
        <f t="shared" si="0"/>
        <v>0</v>
      </c>
    </row>
    <row r="57" spans="1:7">
      <c r="A57" s="8"/>
      <c r="B57" s="59" t="s">
        <v>102</v>
      </c>
      <c r="C57" s="70" t="s">
        <v>71</v>
      </c>
      <c r="D57" s="60">
        <v>12</v>
      </c>
      <c r="E57" s="57">
        <v>6.45</v>
      </c>
      <c r="F57" s="61"/>
      <c r="G57" s="58">
        <f t="shared" ref="G57" si="1">D57*E57*F57</f>
        <v>0</v>
      </c>
    </row>
    <row r="58" spans="1:7">
      <c r="A58" s="8"/>
      <c r="B58" s="59" t="s">
        <v>263</v>
      </c>
      <c r="C58" s="70" t="s">
        <v>262</v>
      </c>
      <c r="D58" s="60">
        <v>12</v>
      </c>
      <c r="E58" s="57">
        <v>6.45</v>
      </c>
      <c r="F58" s="61"/>
      <c r="G58" s="58">
        <f t="shared" si="0"/>
        <v>0</v>
      </c>
    </row>
    <row r="59" spans="1:7">
      <c r="A59" s="8"/>
      <c r="B59" s="99" t="s">
        <v>255</v>
      </c>
      <c r="C59" s="100"/>
      <c r="D59" s="100"/>
      <c r="E59" s="100"/>
      <c r="F59" s="100"/>
      <c r="G59" s="101"/>
    </row>
    <row r="60" spans="1:7">
      <c r="A60" s="8"/>
      <c r="B60" s="102"/>
      <c r="C60" s="103"/>
      <c r="D60" s="103"/>
      <c r="E60" s="103"/>
      <c r="F60" s="103"/>
      <c r="G60" s="104"/>
    </row>
    <row r="61" spans="1:7">
      <c r="A61" s="8"/>
      <c r="B61" s="73" t="s">
        <v>228</v>
      </c>
      <c r="C61" s="70" t="s">
        <v>229</v>
      </c>
      <c r="D61" s="60">
        <v>12</v>
      </c>
      <c r="E61" s="57">
        <v>7.65</v>
      </c>
      <c r="F61" s="105"/>
      <c r="G61" s="58">
        <f t="shared" ref="G61:G69" si="2">D61*E61*F61</f>
        <v>0</v>
      </c>
    </row>
    <row r="62" spans="1:7">
      <c r="A62" s="8"/>
      <c r="B62" s="73" t="s">
        <v>238</v>
      </c>
      <c r="C62" s="70" t="s">
        <v>230</v>
      </c>
      <c r="D62" s="60">
        <v>12</v>
      </c>
      <c r="E62" s="57">
        <v>9.25</v>
      </c>
      <c r="F62" s="105"/>
      <c r="G62" s="58">
        <f t="shared" si="2"/>
        <v>0</v>
      </c>
    </row>
    <row r="63" spans="1:7">
      <c r="A63" s="8"/>
      <c r="B63" s="73" t="s">
        <v>239</v>
      </c>
      <c r="C63" s="70" t="s">
        <v>231</v>
      </c>
      <c r="D63" s="60">
        <v>12</v>
      </c>
      <c r="E63" s="57">
        <v>9.25</v>
      </c>
      <c r="F63" s="105"/>
      <c r="G63" s="58">
        <f t="shared" si="2"/>
        <v>0</v>
      </c>
    </row>
    <row r="64" spans="1:7">
      <c r="A64" s="8"/>
      <c r="B64" s="73" t="s">
        <v>240</v>
      </c>
      <c r="C64" s="70" t="s">
        <v>232</v>
      </c>
      <c r="D64" s="60">
        <v>12</v>
      </c>
      <c r="E64" s="57">
        <v>10.95</v>
      </c>
      <c r="F64" s="105"/>
      <c r="G64" s="58">
        <f t="shared" si="2"/>
        <v>0</v>
      </c>
    </row>
    <row r="65" spans="1:7">
      <c r="A65" s="8"/>
      <c r="B65" s="73" t="s">
        <v>241</v>
      </c>
      <c r="C65" s="70" t="s">
        <v>233</v>
      </c>
      <c r="D65" s="60">
        <v>12</v>
      </c>
      <c r="E65" s="57">
        <v>10.95</v>
      </c>
      <c r="F65" s="105"/>
      <c r="G65" s="58">
        <f t="shared" si="2"/>
        <v>0</v>
      </c>
    </row>
    <row r="66" spans="1:7">
      <c r="A66" s="8"/>
      <c r="B66" s="73" t="s">
        <v>245</v>
      </c>
      <c r="C66" s="70" t="s">
        <v>234</v>
      </c>
      <c r="D66" s="60">
        <v>12</v>
      </c>
      <c r="E66" s="57">
        <v>10.95</v>
      </c>
      <c r="F66" s="105"/>
      <c r="G66" s="58">
        <f t="shared" si="2"/>
        <v>0</v>
      </c>
    </row>
    <row r="67" spans="1:7">
      <c r="A67" s="8"/>
      <c r="B67" s="73" t="s">
        <v>244</v>
      </c>
      <c r="C67" s="70" t="s">
        <v>235</v>
      </c>
      <c r="D67" s="60">
        <v>12</v>
      </c>
      <c r="E67" s="57">
        <v>10.95</v>
      </c>
      <c r="F67" s="105"/>
      <c r="G67" s="58">
        <f t="shared" si="2"/>
        <v>0</v>
      </c>
    </row>
    <row r="68" spans="1:7">
      <c r="A68" s="8"/>
      <c r="B68" s="73" t="s">
        <v>242</v>
      </c>
      <c r="C68" s="70" t="s">
        <v>236</v>
      </c>
      <c r="D68" s="60">
        <v>12</v>
      </c>
      <c r="E68" s="57">
        <v>10.95</v>
      </c>
      <c r="F68" s="105"/>
      <c r="G68" s="58">
        <f t="shared" si="2"/>
        <v>0</v>
      </c>
    </row>
    <row r="69" spans="1:7">
      <c r="A69" s="8"/>
      <c r="B69" s="73" t="s">
        <v>243</v>
      </c>
      <c r="C69" s="70" t="s">
        <v>237</v>
      </c>
      <c r="D69" s="60">
        <v>12</v>
      </c>
      <c r="E69" s="57">
        <v>10.95</v>
      </c>
      <c r="F69" s="105"/>
      <c r="G69" s="58">
        <f t="shared" si="2"/>
        <v>0</v>
      </c>
    </row>
    <row r="70" spans="1:7">
      <c r="A70" s="8"/>
      <c r="B70" s="99" t="s">
        <v>246</v>
      </c>
      <c r="C70" s="100"/>
      <c r="D70" s="100"/>
      <c r="E70" s="100"/>
      <c r="F70" s="100"/>
      <c r="G70" s="101"/>
    </row>
    <row r="71" spans="1:7">
      <c r="A71" s="8"/>
      <c r="B71" s="102"/>
      <c r="C71" s="103"/>
      <c r="D71" s="103"/>
      <c r="E71" s="103"/>
      <c r="F71" s="103"/>
      <c r="G71" s="104"/>
    </row>
    <row r="72" spans="1:7">
      <c r="A72" s="8"/>
      <c r="B72" s="59" t="s">
        <v>191</v>
      </c>
      <c r="C72" s="70" t="s">
        <v>69</v>
      </c>
      <c r="D72" s="60">
        <v>12</v>
      </c>
      <c r="E72" s="57">
        <v>11.95</v>
      </c>
      <c r="F72" s="61"/>
      <c r="G72" s="58">
        <f t="shared" ref="G72:G78" si="3">D72*E72*F72</f>
        <v>0</v>
      </c>
    </row>
    <row r="73" spans="1:7">
      <c r="A73" s="8"/>
      <c r="B73" s="59" t="s">
        <v>256</v>
      </c>
      <c r="C73" s="70" t="s">
        <v>252</v>
      </c>
      <c r="D73" s="60">
        <v>12</v>
      </c>
      <c r="E73" s="57">
        <v>9.9499999999999993</v>
      </c>
      <c r="F73" s="61"/>
      <c r="G73" s="58">
        <f t="shared" ref="G73:G79" si="4">D73*E73*F73</f>
        <v>0</v>
      </c>
    </row>
    <row r="74" spans="1:7">
      <c r="A74" s="8"/>
      <c r="B74" s="59" t="s">
        <v>251</v>
      </c>
      <c r="C74" s="70" t="s">
        <v>253</v>
      </c>
      <c r="D74" s="60">
        <v>12</v>
      </c>
      <c r="E74" s="57">
        <v>9.9499999999999993</v>
      </c>
      <c r="F74" s="61"/>
      <c r="G74" s="58">
        <f t="shared" si="3"/>
        <v>0</v>
      </c>
    </row>
    <row r="75" spans="1:7">
      <c r="A75" s="8"/>
      <c r="B75" s="59" t="s">
        <v>257</v>
      </c>
      <c r="C75" s="70" t="s">
        <v>254</v>
      </c>
      <c r="D75" s="60">
        <v>12</v>
      </c>
      <c r="E75" s="57">
        <v>9.9499999999999993</v>
      </c>
      <c r="F75" s="61"/>
      <c r="G75" s="58">
        <f t="shared" si="4"/>
        <v>0</v>
      </c>
    </row>
    <row r="76" spans="1:7">
      <c r="A76" s="8"/>
      <c r="B76" s="59" t="s">
        <v>249</v>
      </c>
      <c r="C76" s="70" t="s">
        <v>258</v>
      </c>
      <c r="D76" s="60">
        <v>12</v>
      </c>
      <c r="E76" s="57">
        <v>3.45</v>
      </c>
      <c r="F76" s="61"/>
      <c r="G76" s="58">
        <f t="shared" si="3"/>
        <v>0</v>
      </c>
    </row>
    <row r="77" spans="1:7">
      <c r="A77" s="8"/>
      <c r="B77" s="59" t="s">
        <v>250</v>
      </c>
      <c r="C77" s="70" t="s">
        <v>259</v>
      </c>
      <c r="D77" s="60">
        <v>12</v>
      </c>
      <c r="E77" s="57">
        <v>3.45</v>
      </c>
      <c r="F77" s="61"/>
      <c r="G77" s="58">
        <f t="shared" si="4"/>
        <v>0</v>
      </c>
    </row>
    <row r="78" spans="1:7">
      <c r="A78" s="8"/>
      <c r="B78" s="59" t="s">
        <v>247</v>
      </c>
      <c r="C78" s="70" t="s">
        <v>260</v>
      </c>
      <c r="D78" s="60">
        <v>12</v>
      </c>
      <c r="E78" s="57">
        <v>8.9499999999999993</v>
      </c>
      <c r="F78" s="61"/>
      <c r="G78" s="58">
        <f t="shared" si="3"/>
        <v>0</v>
      </c>
    </row>
    <row r="79" spans="1:7">
      <c r="A79" s="8"/>
      <c r="B79" s="59" t="s">
        <v>248</v>
      </c>
      <c r="C79" s="70" t="s">
        <v>261</v>
      </c>
      <c r="D79" s="60">
        <v>12</v>
      </c>
      <c r="E79" s="57">
        <v>8.9499999999999993</v>
      </c>
      <c r="F79" s="61"/>
      <c r="G79" s="58">
        <f t="shared" si="4"/>
        <v>0</v>
      </c>
    </row>
    <row r="80" spans="1:7">
      <c r="A80" s="8"/>
      <c r="B80" s="99" t="s">
        <v>159</v>
      </c>
      <c r="C80" s="100"/>
      <c r="D80" s="100"/>
      <c r="E80" s="100"/>
      <c r="F80" s="100"/>
      <c r="G80" s="101"/>
    </row>
    <row r="81" spans="1:7">
      <c r="A81" s="8"/>
      <c r="B81" s="102"/>
      <c r="C81" s="103"/>
      <c r="D81" s="103"/>
      <c r="E81" s="103"/>
      <c r="F81" s="103"/>
      <c r="G81" s="104"/>
    </row>
    <row r="82" spans="1:7">
      <c r="A82" s="8"/>
      <c r="B82" s="73" t="s">
        <v>222</v>
      </c>
      <c r="C82" s="70" t="s">
        <v>53</v>
      </c>
      <c r="D82" s="62">
        <v>6</v>
      </c>
      <c r="E82" s="57">
        <v>14.95</v>
      </c>
      <c r="F82" s="61"/>
      <c r="G82" s="58">
        <f t="shared" ref="G82:G93" si="5">D82*E82*F82</f>
        <v>0</v>
      </c>
    </row>
    <row r="83" spans="1:7">
      <c r="A83" s="8"/>
      <c r="B83" s="73" t="s">
        <v>223</v>
      </c>
      <c r="C83" s="70" t="s">
        <v>54</v>
      </c>
      <c r="D83" s="62">
        <v>6</v>
      </c>
      <c r="E83" s="57">
        <v>14.95</v>
      </c>
      <c r="F83" s="61"/>
      <c r="G83" s="58">
        <f t="shared" si="5"/>
        <v>0</v>
      </c>
    </row>
    <row r="84" spans="1:7">
      <c r="A84" s="8"/>
      <c r="B84" s="73" t="s">
        <v>192</v>
      </c>
      <c r="C84" s="70" t="s">
        <v>55</v>
      </c>
      <c r="D84" s="62">
        <v>6</v>
      </c>
      <c r="E84" s="57">
        <v>14.95</v>
      </c>
      <c r="F84" s="61"/>
      <c r="G84" s="58">
        <f t="shared" si="5"/>
        <v>0</v>
      </c>
    </row>
    <row r="85" spans="1:7">
      <c r="A85" s="8"/>
      <c r="B85" s="73" t="s">
        <v>193</v>
      </c>
      <c r="C85" s="70" t="s">
        <v>56</v>
      </c>
      <c r="D85" s="62">
        <v>6</v>
      </c>
      <c r="E85" s="57">
        <v>14.95</v>
      </c>
      <c r="F85" s="61"/>
      <c r="G85" s="58">
        <f t="shared" si="5"/>
        <v>0</v>
      </c>
    </row>
    <row r="86" spans="1:7">
      <c r="A86" s="8"/>
      <c r="B86" s="73" t="s">
        <v>194</v>
      </c>
      <c r="C86" s="70" t="s">
        <v>57</v>
      </c>
      <c r="D86" s="62">
        <v>6</v>
      </c>
      <c r="E86" s="57">
        <v>14.95</v>
      </c>
      <c r="F86" s="61"/>
      <c r="G86" s="58">
        <f t="shared" si="5"/>
        <v>0</v>
      </c>
    </row>
    <row r="87" spans="1:7">
      <c r="A87" s="8"/>
      <c r="B87" s="73" t="s">
        <v>195</v>
      </c>
      <c r="C87" s="70" t="s">
        <v>58</v>
      </c>
      <c r="D87" s="62">
        <v>6</v>
      </c>
      <c r="E87" s="57">
        <v>14.95</v>
      </c>
      <c r="F87" s="61"/>
      <c r="G87" s="58">
        <f t="shared" si="5"/>
        <v>0</v>
      </c>
    </row>
    <row r="88" spans="1:7">
      <c r="A88" s="8"/>
      <c r="B88" s="73" t="s">
        <v>196</v>
      </c>
      <c r="C88" s="70" t="s">
        <v>59</v>
      </c>
      <c r="D88" s="62">
        <v>6</v>
      </c>
      <c r="E88" s="57">
        <v>14.95</v>
      </c>
      <c r="F88" s="61"/>
      <c r="G88" s="58">
        <f t="shared" si="5"/>
        <v>0</v>
      </c>
    </row>
    <row r="89" spans="1:7">
      <c r="A89" s="8"/>
      <c r="B89" s="73" t="s">
        <v>197</v>
      </c>
      <c r="C89" s="70" t="s">
        <v>60</v>
      </c>
      <c r="D89" s="62">
        <v>6</v>
      </c>
      <c r="E89" s="57">
        <v>14.95</v>
      </c>
      <c r="F89" s="61"/>
      <c r="G89" s="58">
        <f t="shared" si="5"/>
        <v>0</v>
      </c>
    </row>
    <row r="90" spans="1:7">
      <c r="A90" s="8"/>
      <c r="B90" s="73" t="s">
        <v>198</v>
      </c>
      <c r="C90" s="70" t="s">
        <v>64</v>
      </c>
      <c r="D90" s="62">
        <v>6</v>
      </c>
      <c r="E90" s="57">
        <v>14.95</v>
      </c>
      <c r="F90" s="61"/>
      <c r="G90" s="58">
        <f t="shared" si="5"/>
        <v>0</v>
      </c>
    </row>
    <row r="91" spans="1:7">
      <c r="A91" s="8"/>
      <c r="B91" s="73" t="s">
        <v>199</v>
      </c>
      <c r="C91" s="70" t="s">
        <v>65</v>
      </c>
      <c r="D91" s="62">
        <v>6</v>
      </c>
      <c r="E91" s="57">
        <v>14.95</v>
      </c>
      <c r="F91" s="61"/>
      <c r="G91" s="58">
        <f t="shared" si="5"/>
        <v>0</v>
      </c>
    </row>
    <row r="92" spans="1:7">
      <c r="A92" s="8"/>
      <c r="B92" s="73" t="s">
        <v>200</v>
      </c>
      <c r="C92" s="70" t="s">
        <v>66</v>
      </c>
      <c r="D92" s="62">
        <v>6</v>
      </c>
      <c r="E92" s="57">
        <v>14.95</v>
      </c>
      <c r="F92" s="61"/>
      <c r="G92" s="58">
        <f t="shared" si="5"/>
        <v>0</v>
      </c>
    </row>
    <row r="93" spans="1:7">
      <c r="A93" s="8"/>
      <c r="B93" s="73" t="s">
        <v>201</v>
      </c>
      <c r="C93" s="71" t="s">
        <v>67</v>
      </c>
      <c r="D93" s="62">
        <v>6</v>
      </c>
      <c r="E93" s="57">
        <v>14.95</v>
      </c>
      <c r="F93" s="61"/>
      <c r="G93" s="58">
        <f t="shared" si="5"/>
        <v>0</v>
      </c>
    </row>
    <row r="94" spans="1:7">
      <c r="A94" s="8"/>
      <c r="B94" s="99" t="s">
        <v>157</v>
      </c>
      <c r="C94" s="100"/>
      <c r="D94" s="100"/>
      <c r="E94" s="100"/>
      <c r="F94" s="100"/>
      <c r="G94" s="101"/>
    </row>
    <row r="95" spans="1:7">
      <c r="A95" s="8"/>
      <c r="B95" s="102"/>
      <c r="C95" s="103"/>
      <c r="D95" s="103"/>
      <c r="E95" s="103"/>
      <c r="F95" s="103"/>
      <c r="G95" s="104"/>
    </row>
    <row r="96" spans="1:7">
      <c r="A96" s="8"/>
      <c r="B96" s="73" t="s">
        <v>224</v>
      </c>
      <c r="C96" s="70" t="s">
        <v>73</v>
      </c>
      <c r="D96" s="62">
        <v>6</v>
      </c>
      <c r="E96" s="57">
        <v>12.95</v>
      </c>
      <c r="F96" s="61"/>
      <c r="G96" s="58">
        <f t="shared" ref="G96:G107" si="6">D96*E96*F96</f>
        <v>0</v>
      </c>
    </row>
    <row r="97" spans="1:7">
      <c r="A97" s="8"/>
      <c r="B97" s="73" t="s">
        <v>225</v>
      </c>
      <c r="C97" s="70" t="s">
        <v>74</v>
      </c>
      <c r="D97" s="62">
        <v>6</v>
      </c>
      <c r="E97" s="57">
        <v>12.95</v>
      </c>
      <c r="F97" s="61"/>
      <c r="G97" s="58">
        <f t="shared" si="6"/>
        <v>0</v>
      </c>
    </row>
    <row r="98" spans="1:7">
      <c r="A98" s="8"/>
      <c r="B98" s="73" t="s">
        <v>202</v>
      </c>
      <c r="C98" s="70" t="s">
        <v>75</v>
      </c>
      <c r="D98" s="62">
        <v>6</v>
      </c>
      <c r="E98" s="57">
        <v>12.95</v>
      </c>
      <c r="F98" s="61"/>
      <c r="G98" s="58">
        <f t="shared" si="6"/>
        <v>0</v>
      </c>
    </row>
    <row r="99" spans="1:7">
      <c r="A99" s="8"/>
      <c r="B99" s="73" t="s">
        <v>203</v>
      </c>
      <c r="C99" s="70" t="s">
        <v>76</v>
      </c>
      <c r="D99" s="62">
        <v>6</v>
      </c>
      <c r="E99" s="57">
        <v>12.95</v>
      </c>
      <c r="F99" s="61"/>
      <c r="G99" s="58">
        <f t="shared" si="6"/>
        <v>0</v>
      </c>
    </row>
    <row r="100" spans="1:7">
      <c r="A100" s="8"/>
      <c r="B100" s="72" t="s">
        <v>204</v>
      </c>
      <c r="C100" s="70" t="s">
        <v>77</v>
      </c>
      <c r="D100" s="62">
        <v>6</v>
      </c>
      <c r="E100" s="57">
        <v>12.95</v>
      </c>
      <c r="F100" s="61"/>
      <c r="G100" s="58">
        <f t="shared" si="6"/>
        <v>0</v>
      </c>
    </row>
    <row r="101" spans="1:7">
      <c r="A101" s="8"/>
      <c r="B101" s="73" t="s">
        <v>205</v>
      </c>
      <c r="C101" s="70" t="s">
        <v>78</v>
      </c>
      <c r="D101" s="62">
        <v>6</v>
      </c>
      <c r="E101" s="57">
        <v>12.95</v>
      </c>
      <c r="F101" s="61"/>
      <c r="G101" s="58">
        <f t="shared" si="6"/>
        <v>0</v>
      </c>
    </row>
    <row r="102" spans="1:7">
      <c r="A102" s="8"/>
      <c r="B102" s="73" t="s">
        <v>206</v>
      </c>
      <c r="C102" s="70" t="s">
        <v>79</v>
      </c>
      <c r="D102" s="62">
        <v>6</v>
      </c>
      <c r="E102" s="57">
        <v>12.95</v>
      </c>
      <c r="F102" s="61"/>
      <c r="G102" s="58">
        <f t="shared" si="6"/>
        <v>0</v>
      </c>
    </row>
    <row r="103" spans="1:7">
      <c r="A103" s="8"/>
      <c r="B103" s="72" t="s">
        <v>207</v>
      </c>
      <c r="C103" s="70" t="s">
        <v>80</v>
      </c>
      <c r="D103" s="62">
        <v>6</v>
      </c>
      <c r="E103" s="57">
        <v>12.95</v>
      </c>
      <c r="F103" s="61"/>
      <c r="G103" s="58">
        <f t="shared" si="6"/>
        <v>0</v>
      </c>
    </row>
    <row r="104" spans="1:7">
      <c r="A104" s="8"/>
      <c r="B104" s="73" t="s">
        <v>208</v>
      </c>
      <c r="C104" s="70" t="s">
        <v>81</v>
      </c>
      <c r="D104" s="62">
        <v>6</v>
      </c>
      <c r="E104" s="57">
        <v>12.95</v>
      </c>
      <c r="F104" s="61"/>
      <c r="G104" s="58">
        <f t="shared" si="6"/>
        <v>0</v>
      </c>
    </row>
    <row r="105" spans="1:7">
      <c r="A105" s="8"/>
      <c r="B105" s="72" t="s">
        <v>209</v>
      </c>
      <c r="C105" s="70" t="s">
        <v>82</v>
      </c>
      <c r="D105" s="62">
        <v>6</v>
      </c>
      <c r="E105" s="57">
        <v>12.95</v>
      </c>
      <c r="F105" s="61"/>
      <c r="G105" s="58">
        <f t="shared" si="6"/>
        <v>0</v>
      </c>
    </row>
    <row r="106" spans="1:7">
      <c r="A106" s="8"/>
      <c r="B106" s="72" t="s">
        <v>210</v>
      </c>
      <c r="C106" s="70" t="s">
        <v>83</v>
      </c>
      <c r="D106" s="62">
        <v>6</v>
      </c>
      <c r="E106" s="57">
        <v>12.95</v>
      </c>
      <c r="F106" s="61"/>
      <c r="G106" s="58">
        <f t="shared" si="6"/>
        <v>0</v>
      </c>
    </row>
    <row r="107" spans="1:7">
      <c r="A107" s="8"/>
      <c r="B107" s="72" t="s">
        <v>211</v>
      </c>
      <c r="C107" s="70" t="s">
        <v>84</v>
      </c>
      <c r="D107" s="62">
        <v>6</v>
      </c>
      <c r="E107" s="57">
        <v>12.95</v>
      </c>
      <c r="F107" s="61"/>
      <c r="G107" s="58">
        <f t="shared" si="6"/>
        <v>0</v>
      </c>
    </row>
    <row r="108" spans="1:7">
      <c r="A108" s="8"/>
      <c r="B108" s="99" t="s">
        <v>158</v>
      </c>
      <c r="C108" s="100"/>
      <c r="D108" s="100"/>
      <c r="E108" s="100"/>
      <c r="F108" s="100"/>
      <c r="G108" s="101"/>
    </row>
    <row r="109" spans="1:7">
      <c r="A109" s="8"/>
      <c r="B109" s="102"/>
      <c r="C109" s="103"/>
      <c r="D109" s="103"/>
      <c r="E109" s="103"/>
      <c r="F109" s="103"/>
      <c r="G109" s="104"/>
    </row>
    <row r="110" spans="1:7">
      <c r="A110" s="8"/>
      <c r="B110" s="73" t="s">
        <v>226</v>
      </c>
      <c r="C110" s="70" t="s">
        <v>85</v>
      </c>
      <c r="D110" s="62">
        <v>6</v>
      </c>
      <c r="E110" s="57">
        <v>21.95</v>
      </c>
      <c r="F110" s="61"/>
      <c r="G110" s="58">
        <f t="shared" ref="G110:G121" si="7">D110*E110*F110</f>
        <v>0</v>
      </c>
    </row>
    <row r="111" spans="1:7">
      <c r="A111" s="8"/>
      <c r="B111" s="73" t="s">
        <v>227</v>
      </c>
      <c r="C111" s="70" t="s">
        <v>86</v>
      </c>
      <c r="D111" s="62">
        <v>6</v>
      </c>
      <c r="E111" s="57">
        <v>21.95</v>
      </c>
      <c r="F111" s="61"/>
      <c r="G111" s="58">
        <f t="shared" si="7"/>
        <v>0</v>
      </c>
    </row>
    <row r="112" spans="1:7">
      <c r="A112" s="8"/>
      <c r="B112" s="72" t="s">
        <v>212</v>
      </c>
      <c r="C112" s="70" t="s">
        <v>87</v>
      </c>
      <c r="D112" s="62">
        <v>6</v>
      </c>
      <c r="E112" s="57">
        <v>21.95</v>
      </c>
      <c r="F112" s="61"/>
      <c r="G112" s="58">
        <f t="shared" si="7"/>
        <v>0</v>
      </c>
    </row>
    <row r="113" spans="1:7">
      <c r="A113" s="8"/>
      <c r="B113" s="72" t="s">
        <v>213</v>
      </c>
      <c r="C113" s="70" t="s">
        <v>88</v>
      </c>
      <c r="D113" s="62">
        <v>6</v>
      </c>
      <c r="E113" s="57">
        <v>21.95</v>
      </c>
      <c r="F113" s="61"/>
      <c r="G113" s="58">
        <f t="shared" si="7"/>
        <v>0</v>
      </c>
    </row>
    <row r="114" spans="1:7">
      <c r="A114" s="8"/>
      <c r="B114" s="72" t="s">
        <v>214</v>
      </c>
      <c r="C114" s="70" t="s">
        <v>89</v>
      </c>
      <c r="D114" s="62">
        <v>6</v>
      </c>
      <c r="E114" s="57">
        <v>21.95</v>
      </c>
      <c r="F114" s="61"/>
      <c r="G114" s="58">
        <f t="shared" si="7"/>
        <v>0</v>
      </c>
    </row>
    <row r="115" spans="1:7">
      <c r="A115" s="8"/>
      <c r="B115" s="72" t="s">
        <v>215</v>
      </c>
      <c r="C115" s="70" t="s">
        <v>90</v>
      </c>
      <c r="D115" s="62">
        <v>6</v>
      </c>
      <c r="E115" s="57">
        <v>21.95</v>
      </c>
      <c r="F115" s="61"/>
      <c r="G115" s="58">
        <f t="shared" si="7"/>
        <v>0</v>
      </c>
    </row>
    <row r="116" spans="1:7">
      <c r="A116" s="8"/>
      <c r="B116" s="72" t="s">
        <v>216</v>
      </c>
      <c r="C116" s="70" t="s">
        <v>91</v>
      </c>
      <c r="D116" s="62">
        <v>6</v>
      </c>
      <c r="E116" s="57">
        <v>21.95</v>
      </c>
      <c r="F116" s="61"/>
      <c r="G116" s="58">
        <f t="shared" si="7"/>
        <v>0</v>
      </c>
    </row>
    <row r="117" spans="1:7">
      <c r="A117" s="8"/>
      <c r="B117" s="72" t="s">
        <v>217</v>
      </c>
      <c r="C117" s="70" t="s">
        <v>92</v>
      </c>
      <c r="D117" s="62">
        <v>6</v>
      </c>
      <c r="E117" s="57">
        <v>21.95</v>
      </c>
      <c r="F117" s="61"/>
      <c r="G117" s="58">
        <f t="shared" si="7"/>
        <v>0</v>
      </c>
    </row>
    <row r="118" spans="1:7">
      <c r="A118" s="8"/>
      <c r="B118" s="72" t="s">
        <v>218</v>
      </c>
      <c r="C118" s="70" t="s">
        <v>93</v>
      </c>
      <c r="D118" s="62">
        <v>6</v>
      </c>
      <c r="E118" s="57">
        <v>21.95</v>
      </c>
      <c r="F118" s="61"/>
      <c r="G118" s="58">
        <f t="shared" si="7"/>
        <v>0</v>
      </c>
    </row>
    <row r="119" spans="1:7">
      <c r="A119" s="8"/>
      <c r="B119" s="72" t="s">
        <v>219</v>
      </c>
      <c r="C119" s="70" t="s">
        <v>94</v>
      </c>
      <c r="D119" s="62">
        <v>6</v>
      </c>
      <c r="E119" s="57">
        <v>21.95</v>
      </c>
      <c r="F119" s="61"/>
      <c r="G119" s="58">
        <f t="shared" si="7"/>
        <v>0</v>
      </c>
    </row>
    <row r="120" spans="1:7">
      <c r="A120" s="8"/>
      <c r="B120" s="72" t="s">
        <v>220</v>
      </c>
      <c r="C120" s="70" t="s">
        <v>95</v>
      </c>
      <c r="D120" s="62">
        <v>6</v>
      </c>
      <c r="E120" s="57">
        <v>21.95</v>
      </c>
      <c r="F120" s="61"/>
      <c r="G120" s="58">
        <f t="shared" si="7"/>
        <v>0</v>
      </c>
    </row>
    <row r="121" spans="1:7">
      <c r="A121" s="8"/>
      <c r="B121" s="72" t="s">
        <v>221</v>
      </c>
      <c r="C121" s="70" t="s">
        <v>96</v>
      </c>
      <c r="D121" s="62">
        <v>6</v>
      </c>
      <c r="E121" s="57">
        <v>21.95</v>
      </c>
      <c r="F121" s="61"/>
      <c r="G121" s="58">
        <f t="shared" si="7"/>
        <v>0</v>
      </c>
    </row>
    <row r="122" spans="1:7">
      <c r="A122" s="8"/>
      <c r="B122" s="99" t="s">
        <v>106</v>
      </c>
      <c r="C122" s="100"/>
      <c r="D122" s="100"/>
      <c r="E122" s="100"/>
      <c r="F122" s="100"/>
      <c r="G122" s="101"/>
    </row>
    <row r="123" spans="1:7">
      <c r="A123" s="8"/>
      <c r="B123" s="102"/>
      <c r="C123" s="103"/>
      <c r="D123" s="103"/>
      <c r="E123" s="103"/>
      <c r="F123" s="103"/>
      <c r="G123" s="104"/>
    </row>
    <row r="124" spans="1:7">
      <c r="A124" s="8"/>
      <c r="B124" s="59" t="s">
        <v>132</v>
      </c>
      <c r="C124" s="56" t="s">
        <v>108</v>
      </c>
      <c r="D124" s="60">
        <v>12</v>
      </c>
      <c r="E124" s="57">
        <v>1.95</v>
      </c>
      <c r="F124" s="61"/>
      <c r="G124" s="58">
        <f t="shared" ref="G124:G149" si="8">D124*E124*F124</f>
        <v>0</v>
      </c>
    </row>
    <row r="125" spans="1:7">
      <c r="A125" s="8"/>
      <c r="B125" s="59" t="s">
        <v>133</v>
      </c>
      <c r="C125" s="56" t="s">
        <v>109</v>
      </c>
      <c r="D125" s="60">
        <v>12</v>
      </c>
      <c r="E125" s="57">
        <v>1.95</v>
      </c>
      <c r="F125" s="61"/>
      <c r="G125" s="58">
        <f t="shared" si="8"/>
        <v>0</v>
      </c>
    </row>
    <row r="126" spans="1:7">
      <c r="A126" s="8"/>
      <c r="B126" s="59" t="s">
        <v>134</v>
      </c>
      <c r="C126" s="56" t="s">
        <v>110</v>
      </c>
      <c r="D126" s="60">
        <v>12</v>
      </c>
      <c r="E126" s="57">
        <v>1.95</v>
      </c>
      <c r="F126" s="61"/>
      <c r="G126" s="58">
        <f t="shared" si="8"/>
        <v>0</v>
      </c>
    </row>
    <row r="127" spans="1:7">
      <c r="A127" s="8"/>
      <c r="B127" s="59" t="s">
        <v>135</v>
      </c>
      <c r="C127" s="56" t="s">
        <v>107</v>
      </c>
      <c r="D127" s="60">
        <v>12</v>
      </c>
      <c r="E127" s="57">
        <v>1.95</v>
      </c>
      <c r="F127" s="61"/>
      <c r="G127" s="58">
        <f t="shared" si="8"/>
        <v>0</v>
      </c>
    </row>
    <row r="128" spans="1:7">
      <c r="A128" s="8"/>
      <c r="B128" s="59" t="s">
        <v>136</v>
      </c>
      <c r="C128" s="56" t="s">
        <v>111</v>
      </c>
      <c r="D128" s="60">
        <v>12</v>
      </c>
      <c r="E128" s="57">
        <v>1.95</v>
      </c>
      <c r="F128" s="61"/>
      <c r="G128" s="58">
        <f t="shared" si="8"/>
        <v>0</v>
      </c>
    </row>
    <row r="129" spans="1:7">
      <c r="A129" s="8"/>
      <c r="B129" s="59" t="s">
        <v>137</v>
      </c>
      <c r="C129" s="56" t="s">
        <v>112</v>
      </c>
      <c r="D129" s="60">
        <v>12</v>
      </c>
      <c r="E129" s="57">
        <v>1.95</v>
      </c>
      <c r="F129" s="61"/>
      <c r="G129" s="58">
        <f t="shared" si="8"/>
        <v>0</v>
      </c>
    </row>
    <row r="130" spans="1:7">
      <c r="A130" s="8"/>
      <c r="B130" s="59" t="s">
        <v>138</v>
      </c>
      <c r="C130" s="56" t="s">
        <v>113</v>
      </c>
      <c r="D130" s="60">
        <v>12</v>
      </c>
      <c r="E130" s="57">
        <v>1.95</v>
      </c>
      <c r="F130" s="61"/>
      <c r="G130" s="58">
        <f t="shared" si="8"/>
        <v>0</v>
      </c>
    </row>
    <row r="131" spans="1:7">
      <c r="A131" s="8"/>
      <c r="B131" s="59" t="s">
        <v>139</v>
      </c>
      <c r="C131" s="56" t="s">
        <v>114</v>
      </c>
      <c r="D131" s="60">
        <v>12</v>
      </c>
      <c r="E131" s="57">
        <v>1.95</v>
      </c>
      <c r="F131" s="61"/>
      <c r="G131" s="58">
        <f t="shared" si="8"/>
        <v>0</v>
      </c>
    </row>
    <row r="132" spans="1:7">
      <c r="A132" s="8"/>
      <c r="B132" s="59" t="s">
        <v>140</v>
      </c>
      <c r="C132" s="56" t="s">
        <v>115</v>
      </c>
      <c r="D132" s="60">
        <v>12</v>
      </c>
      <c r="E132" s="57">
        <v>1.95</v>
      </c>
      <c r="F132" s="61"/>
      <c r="G132" s="58">
        <f t="shared" si="8"/>
        <v>0</v>
      </c>
    </row>
    <row r="133" spans="1:7">
      <c r="A133" s="8"/>
      <c r="B133" s="59" t="s">
        <v>141</v>
      </c>
      <c r="C133" s="56" t="s">
        <v>116</v>
      </c>
      <c r="D133" s="60">
        <v>12</v>
      </c>
      <c r="E133" s="57">
        <v>1.95</v>
      </c>
      <c r="F133" s="61"/>
      <c r="G133" s="58">
        <f t="shared" si="8"/>
        <v>0</v>
      </c>
    </row>
    <row r="134" spans="1:7">
      <c r="A134" s="8"/>
      <c r="B134" s="59" t="s">
        <v>142</v>
      </c>
      <c r="C134" s="56" t="s">
        <v>117</v>
      </c>
      <c r="D134" s="60">
        <v>12</v>
      </c>
      <c r="E134" s="57">
        <v>1.95</v>
      </c>
      <c r="F134" s="61"/>
      <c r="G134" s="58">
        <f t="shared" si="8"/>
        <v>0</v>
      </c>
    </row>
    <row r="135" spans="1:7">
      <c r="A135" s="8"/>
      <c r="B135" s="59" t="s">
        <v>143</v>
      </c>
      <c r="C135" s="56" t="s">
        <v>118</v>
      </c>
      <c r="D135" s="60">
        <v>12</v>
      </c>
      <c r="E135" s="57">
        <v>1.95</v>
      </c>
      <c r="F135" s="61"/>
      <c r="G135" s="58">
        <f t="shared" si="8"/>
        <v>0</v>
      </c>
    </row>
    <row r="136" spans="1:7">
      <c r="A136" s="8"/>
      <c r="B136" s="59" t="s">
        <v>144</v>
      </c>
      <c r="C136" s="56" t="s">
        <v>119</v>
      </c>
      <c r="D136" s="60">
        <v>12</v>
      </c>
      <c r="E136" s="57">
        <v>1.95</v>
      </c>
      <c r="F136" s="61"/>
      <c r="G136" s="58">
        <f t="shared" si="8"/>
        <v>0</v>
      </c>
    </row>
    <row r="137" spans="1:7">
      <c r="A137" s="8"/>
      <c r="B137" s="59" t="s">
        <v>145</v>
      </c>
      <c r="C137" s="56" t="s">
        <v>120</v>
      </c>
      <c r="D137" s="60">
        <v>12</v>
      </c>
      <c r="E137" s="57">
        <v>1.95</v>
      </c>
      <c r="F137" s="61"/>
      <c r="G137" s="58">
        <f t="shared" si="8"/>
        <v>0</v>
      </c>
    </row>
    <row r="138" spans="1:7">
      <c r="A138" s="8"/>
      <c r="B138" s="59" t="s">
        <v>146</v>
      </c>
      <c r="C138" s="56" t="s">
        <v>121</v>
      </c>
      <c r="D138" s="60">
        <v>12</v>
      </c>
      <c r="E138" s="57">
        <v>1.95</v>
      </c>
      <c r="F138" s="61"/>
      <c r="G138" s="58">
        <f t="shared" si="8"/>
        <v>0</v>
      </c>
    </row>
    <row r="139" spans="1:7">
      <c r="A139" s="8"/>
      <c r="B139" s="59" t="s">
        <v>147</v>
      </c>
      <c r="C139" s="56" t="s">
        <v>122</v>
      </c>
      <c r="D139" s="60">
        <v>12</v>
      </c>
      <c r="E139" s="57">
        <v>1.95</v>
      </c>
      <c r="F139" s="61"/>
      <c r="G139" s="58">
        <f t="shared" si="8"/>
        <v>0</v>
      </c>
    </row>
    <row r="140" spans="1:7">
      <c r="A140" s="8"/>
      <c r="B140" s="59" t="s">
        <v>148</v>
      </c>
      <c r="C140" s="56" t="s">
        <v>123</v>
      </c>
      <c r="D140" s="60">
        <v>12</v>
      </c>
      <c r="E140" s="57">
        <v>1.95</v>
      </c>
      <c r="F140" s="61"/>
      <c r="G140" s="58">
        <f t="shared" si="8"/>
        <v>0</v>
      </c>
    </row>
    <row r="141" spans="1:7">
      <c r="A141" s="8"/>
      <c r="B141" s="59" t="s">
        <v>149</v>
      </c>
      <c r="C141" s="56" t="s">
        <v>124</v>
      </c>
      <c r="D141" s="60">
        <v>12</v>
      </c>
      <c r="E141" s="57">
        <v>1.95</v>
      </c>
      <c r="F141" s="61"/>
      <c r="G141" s="58">
        <f t="shared" si="8"/>
        <v>0</v>
      </c>
    </row>
    <row r="142" spans="1:7">
      <c r="A142" s="8"/>
      <c r="B142" s="59" t="s">
        <v>150</v>
      </c>
      <c r="C142" s="56" t="s">
        <v>125</v>
      </c>
      <c r="D142" s="60">
        <v>12</v>
      </c>
      <c r="E142" s="57">
        <v>1.95</v>
      </c>
      <c r="F142" s="61"/>
      <c r="G142" s="58">
        <f t="shared" si="8"/>
        <v>0</v>
      </c>
    </row>
    <row r="143" spans="1:7">
      <c r="A143" s="8"/>
      <c r="B143" s="59" t="s">
        <v>151</v>
      </c>
      <c r="C143" s="56" t="s">
        <v>126</v>
      </c>
      <c r="D143" s="60">
        <v>12</v>
      </c>
      <c r="E143" s="57">
        <v>1.95</v>
      </c>
      <c r="F143" s="61"/>
      <c r="G143" s="58">
        <f t="shared" si="8"/>
        <v>0</v>
      </c>
    </row>
    <row r="144" spans="1:7">
      <c r="A144" s="8"/>
      <c r="B144" s="59" t="s">
        <v>152</v>
      </c>
      <c r="C144" s="56" t="s">
        <v>127</v>
      </c>
      <c r="D144" s="60">
        <v>12</v>
      </c>
      <c r="E144" s="57">
        <v>1.95</v>
      </c>
      <c r="F144" s="61"/>
      <c r="G144" s="58">
        <f t="shared" si="8"/>
        <v>0</v>
      </c>
    </row>
    <row r="145" spans="1:7 16384:16384">
      <c r="A145" s="8"/>
      <c r="B145" s="59" t="s">
        <v>153</v>
      </c>
      <c r="C145" s="56" t="s">
        <v>128</v>
      </c>
      <c r="D145" s="60">
        <v>12</v>
      </c>
      <c r="E145" s="57">
        <v>1.95</v>
      </c>
      <c r="F145" s="61"/>
      <c r="G145" s="58">
        <f t="shared" si="8"/>
        <v>0</v>
      </c>
    </row>
    <row r="146" spans="1:7 16384:16384">
      <c r="A146" s="8"/>
      <c r="B146" s="59" t="s">
        <v>154</v>
      </c>
      <c r="C146" s="56" t="s">
        <v>129</v>
      </c>
      <c r="D146" s="60">
        <v>12</v>
      </c>
      <c r="E146" s="57">
        <v>1.95</v>
      </c>
      <c r="F146" s="61"/>
      <c r="G146" s="58">
        <f t="shared" si="8"/>
        <v>0</v>
      </c>
    </row>
    <row r="147" spans="1:7 16384:16384">
      <c r="A147" s="8"/>
      <c r="B147" s="59" t="s">
        <v>155</v>
      </c>
      <c r="C147" s="56" t="s">
        <v>130</v>
      </c>
      <c r="D147" s="60">
        <v>12</v>
      </c>
      <c r="E147" s="57">
        <v>1.95</v>
      </c>
      <c r="F147" s="61"/>
      <c r="G147" s="58">
        <f t="shared" si="8"/>
        <v>0</v>
      </c>
    </row>
    <row r="148" spans="1:7 16384:16384">
      <c r="A148" s="8"/>
      <c r="B148" s="59" t="s">
        <v>156</v>
      </c>
      <c r="C148" s="56" t="s">
        <v>131</v>
      </c>
      <c r="D148" s="60">
        <v>12</v>
      </c>
      <c r="E148" s="57">
        <v>1.95</v>
      </c>
      <c r="F148" s="61"/>
      <c r="G148" s="58">
        <f t="shared" ref="G148" si="9">D148*E148*F148</f>
        <v>0</v>
      </c>
    </row>
    <row r="149" spans="1:7 16384:16384">
      <c r="A149" s="8"/>
      <c r="B149" s="59" t="s">
        <v>264</v>
      </c>
      <c r="C149" s="56" t="s">
        <v>265</v>
      </c>
      <c r="D149" s="60">
        <v>12</v>
      </c>
      <c r="E149" s="57">
        <v>1.95</v>
      </c>
      <c r="F149" s="61"/>
      <c r="G149" s="58">
        <f t="shared" si="8"/>
        <v>0</v>
      </c>
    </row>
    <row r="150" spans="1:7 16384:16384" s="9" customFormat="1">
      <c r="A150" s="11"/>
      <c r="B150" s="16"/>
      <c r="C150" s="17"/>
      <c r="D150" s="17"/>
      <c r="E150" s="18"/>
      <c r="F150" s="13"/>
      <c r="G150" s="14"/>
    </row>
    <row r="151" spans="1:7 16384:16384" ht="13.2" customHeight="1">
      <c r="A151" s="11"/>
      <c r="B151" s="87" t="s">
        <v>68</v>
      </c>
      <c r="C151" s="88"/>
      <c r="D151" s="88"/>
      <c r="E151" s="89"/>
      <c r="F151" s="63" t="s">
        <v>14</v>
      </c>
      <c r="G151" s="64">
        <f>SUM(G21:G149)</f>
        <v>0</v>
      </c>
    </row>
    <row r="152" spans="1:7 16384:16384" ht="39.6">
      <c r="A152" s="11"/>
      <c r="B152" s="90"/>
      <c r="C152" s="91"/>
      <c r="D152" s="91"/>
      <c r="E152" s="92"/>
      <c r="F152" s="68" t="s">
        <v>15</v>
      </c>
      <c r="G152" s="69">
        <v>0</v>
      </c>
    </row>
    <row r="153" spans="1:7 16384:16384">
      <c r="A153" s="11"/>
      <c r="B153" s="93"/>
      <c r="C153" s="94"/>
      <c r="D153" s="94"/>
      <c r="E153" s="95"/>
      <c r="F153" s="63" t="s">
        <v>0</v>
      </c>
      <c r="G153" s="64">
        <f>G151-(G151*G152)</f>
        <v>0</v>
      </c>
      <c r="XFD153" s="1">
        <v>1</v>
      </c>
    </row>
    <row r="154" spans="1:7 16384:16384">
      <c r="A154" s="11"/>
      <c r="B154" s="96"/>
      <c r="C154" s="97"/>
      <c r="D154" s="97"/>
      <c r="E154" s="97"/>
      <c r="F154" s="97"/>
      <c r="G154" s="98"/>
    </row>
    <row r="155" spans="1:7 16384:16384" ht="25.8" customHeight="1">
      <c r="A155" s="10"/>
      <c r="B155" s="106"/>
      <c r="C155" s="107"/>
      <c r="D155" s="107"/>
      <c r="E155" s="107"/>
      <c r="F155" s="107"/>
      <c r="G155" s="108"/>
    </row>
    <row r="156" spans="1:7 16384:16384">
      <c r="G156" s="15"/>
    </row>
    <row r="157" spans="1:7 16384:16384">
      <c r="G157" s="15"/>
    </row>
    <row r="158" spans="1:7 16384:16384"/>
    <row r="159" spans="1:7 16384:16384"/>
    <row r="160" spans="1:7 16384:16384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</sheetData>
  <sheetProtection formatCells="0" formatColumns="0" insertColumns="0" insertRows="0" deleteRows="0" selectLockedCells="1" autoFilter="0"/>
  <protectedRanges>
    <protectedRange sqref="E51:F51 F28:F50 B80:G81 B94:G95 E23:E50 F55:F56 E52:E56 F25:F26 E82:F93 E96:F107 B108:G109 E110:F121 B59:G60 E61:F69 B70:G71 E150:E155 B18:G20 E21:F22 B122:G123 F52:F53 F23 E72:F79 E57:F58 E124:F149" name="Intervalo4"/>
    <protectedRange sqref="B17:G17" name="Intervalo2_2"/>
    <protectedRange sqref="B150" name="Intervalo4_1_1"/>
    <protectedRange sqref="G15:G16 B9 B11:D12 B13 B15 G6:G10 G1 E7:F13 E1:E5 F2:G5 B1:D8 B10:C10 B14:C14 B16:D16" name="Intervalo2_2_1"/>
    <protectedRange sqref="B82:B93 B61:B69" name="Intervalo4_1_1_1"/>
    <protectedRange sqref="B96:B107" name="Intervalo4_1_1_1_1"/>
    <protectedRange sqref="B110:B121" name="Intervalo4_1_1_2"/>
  </protectedRanges>
  <autoFilter ref="A18:G155" xr:uid="{00000000-0009-0000-0000-000000000000}">
    <sortState xmlns:xlrd2="http://schemas.microsoft.com/office/spreadsheetml/2017/richdata2" ref="A22:L155">
      <sortCondition ref="B21:B155"/>
    </sortState>
  </autoFilter>
  <mergeCells count="19">
    <mergeCell ref="B70:G71"/>
    <mergeCell ref="B12:C12"/>
    <mergeCell ref="B155:G155"/>
    <mergeCell ref="B151:E151"/>
    <mergeCell ref="B152:E153"/>
    <mergeCell ref="B154:G154"/>
    <mergeCell ref="B19:G20"/>
    <mergeCell ref="B80:G81"/>
    <mergeCell ref="B94:G95"/>
    <mergeCell ref="B122:G123"/>
    <mergeCell ref="B108:G109"/>
    <mergeCell ref="B59:G60"/>
    <mergeCell ref="F1:G1"/>
    <mergeCell ref="F3:G3"/>
    <mergeCell ref="F8:G8"/>
    <mergeCell ref="F10:G10"/>
    <mergeCell ref="F12:G12"/>
    <mergeCell ref="F2:G2"/>
    <mergeCell ref="F5:G5"/>
  </mergeCells>
  <phoneticPr fontId="20" type="noConversion"/>
  <conditionalFormatting sqref="E17:F17">
    <cfRule type="cellIs" dxfId="64" priority="582" operator="notEqual">
      <formula>0</formula>
    </cfRule>
  </conditionalFormatting>
  <conditionalFormatting sqref="B2:C2">
    <cfRule type="cellIs" dxfId="63" priority="111" operator="notEqual">
      <formula>0</formula>
    </cfRule>
  </conditionalFormatting>
  <conditionalFormatting sqref="C4 F2:G2 F5:G5">
    <cfRule type="cellIs" dxfId="62" priority="109" operator="notEqual">
      <formula>0</formula>
    </cfRule>
    <cfRule type="cellIs" dxfId="61" priority="110" operator="notEqual">
      <formula>0</formula>
    </cfRule>
  </conditionalFormatting>
  <conditionalFormatting sqref="B6:C6 B12:C12 F10">
    <cfRule type="cellIs" dxfId="60" priority="108" operator="notEqual">
      <formula>0</formula>
    </cfRule>
  </conditionalFormatting>
  <conditionalFormatting sqref="C1:C8 C11:C12">
    <cfRule type="duplicateValues" dxfId="59" priority="112"/>
    <cfRule type="duplicateValues" dxfId="58" priority="113"/>
    <cfRule type="duplicateValues" priority="114"/>
  </conditionalFormatting>
  <conditionalFormatting sqref="C1:C8 C11:C12">
    <cfRule type="duplicateValues" dxfId="57" priority="115"/>
  </conditionalFormatting>
  <conditionalFormatting sqref="F3:G3">
    <cfRule type="cellIs" dxfId="56" priority="106" operator="notEqual">
      <formula>0</formula>
    </cfRule>
    <cfRule type="cellIs" dxfId="55" priority="107" operator="notEqual">
      <formula>0</formula>
    </cfRule>
  </conditionalFormatting>
  <conditionalFormatting sqref="B4">
    <cfRule type="cellIs" dxfId="54" priority="105" operator="notEqual">
      <formula>0</formula>
    </cfRule>
  </conditionalFormatting>
  <conditionalFormatting sqref="C82:C88">
    <cfRule type="duplicateValues" dxfId="53" priority="101"/>
    <cfRule type="duplicateValues" dxfId="52" priority="102"/>
    <cfRule type="duplicateValues" priority="103"/>
  </conditionalFormatting>
  <conditionalFormatting sqref="C82:C88">
    <cfRule type="duplicateValues" dxfId="51" priority="104"/>
  </conditionalFormatting>
  <conditionalFormatting sqref="C89">
    <cfRule type="duplicateValues" dxfId="50" priority="97"/>
    <cfRule type="duplicateValues" dxfId="49" priority="98"/>
    <cfRule type="duplicateValues" priority="99"/>
  </conditionalFormatting>
  <conditionalFormatting sqref="C89">
    <cfRule type="duplicateValues" dxfId="48" priority="100"/>
  </conditionalFormatting>
  <conditionalFormatting sqref="C90">
    <cfRule type="duplicateValues" dxfId="47" priority="93"/>
    <cfRule type="duplicateValues" dxfId="46" priority="94"/>
    <cfRule type="duplicateValues" priority="95"/>
  </conditionalFormatting>
  <conditionalFormatting sqref="C90">
    <cfRule type="duplicateValues" dxfId="45" priority="96"/>
  </conditionalFormatting>
  <conditionalFormatting sqref="C91">
    <cfRule type="duplicateValues" dxfId="44" priority="89"/>
    <cfRule type="duplicateValues" dxfId="43" priority="90"/>
    <cfRule type="duplicateValues" priority="91"/>
  </conditionalFormatting>
  <conditionalFormatting sqref="C91">
    <cfRule type="duplicateValues" dxfId="42" priority="92"/>
  </conditionalFormatting>
  <conditionalFormatting sqref="C92">
    <cfRule type="duplicateValues" dxfId="41" priority="85"/>
    <cfRule type="duplicateValues" dxfId="40" priority="86"/>
    <cfRule type="duplicateValues" priority="87"/>
  </conditionalFormatting>
  <conditionalFormatting sqref="C92">
    <cfRule type="duplicateValues" dxfId="39" priority="88"/>
  </conditionalFormatting>
  <conditionalFormatting sqref="C93">
    <cfRule type="duplicateValues" dxfId="38" priority="81"/>
    <cfRule type="duplicateValues" dxfId="37" priority="82"/>
    <cfRule type="duplicateValues" priority="83"/>
  </conditionalFormatting>
  <conditionalFormatting sqref="C93">
    <cfRule type="duplicateValues" dxfId="36" priority="84"/>
  </conditionalFormatting>
  <conditionalFormatting sqref="C96:C107">
    <cfRule type="duplicateValues" dxfId="35" priority="77"/>
    <cfRule type="duplicateValues" dxfId="34" priority="78"/>
    <cfRule type="duplicateValues" priority="79"/>
  </conditionalFormatting>
  <conditionalFormatting sqref="C96:C107">
    <cfRule type="duplicateValues" dxfId="33" priority="80"/>
  </conditionalFormatting>
  <conditionalFormatting sqref="C150">
    <cfRule type="duplicateValues" dxfId="32" priority="915"/>
    <cfRule type="duplicateValues" dxfId="31" priority="916"/>
    <cfRule type="duplicateValues" priority="917"/>
  </conditionalFormatting>
  <conditionalFormatting sqref="C150">
    <cfRule type="duplicateValues" dxfId="30" priority="918"/>
  </conditionalFormatting>
  <conditionalFormatting sqref="C10">
    <cfRule type="duplicateValues" dxfId="29" priority="49"/>
    <cfRule type="duplicateValues" dxfId="28" priority="50"/>
    <cfRule type="duplicateValues" priority="51"/>
  </conditionalFormatting>
  <conditionalFormatting sqref="C10">
    <cfRule type="duplicateValues" dxfId="27" priority="52"/>
  </conditionalFormatting>
  <conditionalFormatting sqref="C14">
    <cfRule type="duplicateValues" dxfId="26" priority="45"/>
    <cfRule type="duplicateValues" dxfId="25" priority="46"/>
    <cfRule type="duplicateValues" priority="47"/>
  </conditionalFormatting>
  <conditionalFormatting sqref="C14">
    <cfRule type="duplicateValues" dxfId="24" priority="48"/>
  </conditionalFormatting>
  <conditionalFormatting sqref="C16">
    <cfRule type="duplicateValues" dxfId="23" priority="41"/>
    <cfRule type="duplicateValues" dxfId="22" priority="42"/>
    <cfRule type="duplicateValues" priority="43"/>
  </conditionalFormatting>
  <conditionalFormatting sqref="C16">
    <cfRule type="duplicateValues" dxfId="21" priority="44"/>
  </conditionalFormatting>
  <conditionalFormatting sqref="C110:C121">
    <cfRule type="duplicateValues" dxfId="20" priority="37"/>
    <cfRule type="duplicateValues" dxfId="19" priority="38"/>
    <cfRule type="duplicateValues" priority="39"/>
  </conditionalFormatting>
  <conditionalFormatting sqref="C110:C121">
    <cfRule type="duplicateValues" dxfId="18" priority="40"/>
  </conditionalFormatting>
  <conditionalFormatting sqref="C124:C147 C149">
    <cfRule type="duplicateValues" dxfId="17" priority="936"/>
    <cfRule type="duplicateValues" dxfId="16" priority="937"/>
    <cfRule type="duplicateValues" priority="938"/>
  </conditionalFormatting>
  <conditionalFormatting sqref="C124:C147 C149">
    <cfRule type="duplicateValues" dxfId="15" priority="939"/>
  </conditionalFormatting>
  <conditionalFormatting sqref="C17:C18 C21:C56 C58">
    <cfRule type="duplicateValues" dxfId="14" priority="947"/>
    <cfRule type="duplicateValues" dxfId="13" priority="948"/>
    <cfRule type="duplicateValues" priority="949"/>
  </conditionalFormatting>
  <conditionalFormatting sqref="C17:C18 C21:C56 C58">
    <cfRule type="duplicateValues" dxfId="12" priority="953"/>
  </conditionalFormatting>
  <conditionalFormatting sqref="C61:C69">
    <cfRule type="duplicateValues" dxfId="11" priority="954"/>
    <cfRule type="duplicateValues" dxfId="10" priority="955"/>
    <cfRule type="duplicateValues" priority="956"/>
  </conditionalFormatting>
  <conditionalFormatting sqref="C61:C69">
    <cfRule type="duplicateValues" dxfId="9" priority="957"/>
  </conditionalFormatting>
  <conditionalFormatting sqref="C72:C79">
    <cfRule type="duplicateValues" dxfId="8" priority="958"/>
    <cfRule type="duplicateValues" dxfId="7" priority="959"/>
    <cfRule type="duplicateValues" priority="960"/>
  </conditionalFormatting>
  <conditionalFormatting sqref="C72:C79">
    <cfRule type="duplicateValues" dxfId="6" priority="961"/>
  </conditionalFormatting>
  <conditionalFormatting sqref="C57">
    <cfRule type="duplicateValues" dxfId="5" priority="5"/>
    <cfRule type="duplicateValues" dxfId="4" priority="6"/>
    <cfRule type="duplicateValues" priority="7"/>
  </conditionalFormatting>
  <conditionalFormatting sqref="C57">
    <cfRule type="duplicateValues" dxfId="3" priority="8"/>
  </conditionalFormatting>
  <conditionalFormatting sqref="C148">
    <cfRule type="duplicateValues" dxfId="2" priority="1"/>
    <cfRule type="duplicateValues" dxfId="1" priority="2"/>
    <cfRule type="duplicateValues" priority="3"/>
  </conditionalFormatting>
  <conditionalFormatting sqref="C148">
    <cfRule type="duplicateValues" dxfId="0" priority="4"/>
  </conditionalFormatting>
  <pageMargins left="0.23622047244094491" right="0.23622047244094491" top="0.74803149606299213" bottom="0.74803149606299213" header="0.31496062992125984" footer="0.31496062992125984"/>
  <pageSetup paperSize="9" scale="7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Comercial3</dc:creator>
  <cp:lastModifiedBy>Ian Brasileiro</cp:lastModifiedBy>
  <cp:lastPrinted>2019-10-03T11:24:34Z</cp:lastPrinted>
  <dcterms:created xsi:type="dcterms:W3CDTF">2011-02-02T17:45:20Z</dcterms:created>
  <dcterms:modified xsi:type="dcterms:W3CDTF">2020-10-16T15:33:21Z</dcterms:modified>
</cp:coreProperties>
</file>